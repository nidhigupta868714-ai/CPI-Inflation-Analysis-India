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drawings/drawing1.xml" ContentType="application/vnd.openxmlformats-officedocument.drawing+xml"/>
  <Override PartName="/xl/tables/table2.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2.xml" ContentType="application/vnd.openxmlformats-officedocument.spreadsheetml.pivotTable+xml"/>
  <Override PartName="/xl/drawings/drawing4.xml" ContentType="application/vnd.openxmlformats-officedocument.drawing+xml"/>
  <Override PartName="/xl/tables/table10.xml" ContentType="application/vnd.openxmlformats-officedocument.spreadsheetml.tab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5.xml" ContentType="application/vnd.openxmlformats-officedocument.drawing+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6.xml" ContentType="application/vnd.openxmlformats-officedocument.drawing+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66925"/>
  <mc:AlternateContent xmlns:mc="http://schemas.openxmlformats.org/markup-compatibility/2006">
    <mc:Choice Requires="x15">
      <x15ac:absPath xmlns:x15ac="http://schemas.microsoft.com/office/spreadsheetml/2010/11/ac" url="https://d.docs.live.net/b3c3ba0bdc44f602/Documents/Data Analysis_Course/Part1- Introduction to Analytics ^0 Excel/"/>
    </mc:Choice>
  </mc:AlternateContent>
  <xr:revisionPtr revIDLastSave="915" documentId="8_{5C85FCC4-4A80-480C-BBE1-226F1D7B0085}" xr6:coauthVersionLast="47" xr6:coauthVersionMax="47" xr10:uidLastSave="{D3AE2A22-CCB9-409D-8B42-EFC63E45DAB0}"/>
  <bookViews>
    <workbookView xWindow="-108" yWindow="-108" windowWidth="23256" windowHeight="12456" firstSheet="1" activeTab="6" xr2:uid="{B6C70619-909F-467A-9461-97FB1FBDDD40}"/>
  </bookViews>
  <sheets>
    <sheet name="CPI Inflation_Case Study" sheetId="1" r:id="rId1"/>
    <sheet name="Sheet1" sheetId="2" r:id="rId2"/>
    <sheet name="Problem.1" sheetId="3" r:id="rId3"/>
    <sheet name="Problem.2" sheetId="4" r:id="rId4"/>
    <sheet name="Problem.3" sheetId="5" r:id="rId5"/>
    <sheet name="Problem.4" sheetId="6" r:id="rId6"/>
    <sheet name="Problem.5" sheetId="8" r:id="rId7"/>
    <sheet name="Sheet4" sheetId="9" r:id="rId8"/>
  </sheets>
  <definedNames>
    <definedName name="_xlnm._FilterDatabase" localSheetId="3" hidden="1">Problem.2!$A$107:$C$134</definedName>
    <definedName name="_xlnm._FilterDatabase" localSheetId="4" hidden="1">Problem.3!$R$34:$U$46</definedName>
    <definedName name="_xlnm._FilterDatabase" localSheetId="5" hidden="1">Problem.4!$A$1:$F$214</definedName>
    <definedName name="_xlnm._FilterDatabase" localSheetId="6" hidden="1">Problem.5!$AI$7:$AL$34</definedName>
    <definedName name="_xlnm._FilterDatabase" localSheetId="1" hidden="1">Sheet1!$A$1:$C$28</definedName>
  </definedNames>
  <calcPr calcId="191029"/>
  <pivotCaches>
    <pivotCache cacheId="0" r:id="rId9"/>
    <pivotCache cacheId="18" r:id="rId10"/>
  </pivotCaches>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75" i="8" l="1"/>
  <c r="D76" i="8"/>
  <c r="D77" i="8"/>
  <c r="D78" i="8"/>
  <c r="D79" i="8"/>
  <c r="D80" i="8"/>
  <c r="D81" i="8"/>
  <c r="D82" i="8"/>
  <c r="D83" i="8"/>
  <c r="D84" i="8"/>
  <c r="D85" i="8"/>
  <c r="D86" i="8"/>
  <c r="D87" i="8"/>
  <c r="D88" i="8"/>
  <c r="D89" i="8"/>
  <c r="D90" i="8"/>
  <c r="D91" i="8"/>
  <c r="D92" i="8"/>
  <c r="D93" i="8"/>
  <c r="D94" i="8"/>
  <c r="D95" i="8"/>
  <c r="D96" i="8"/>
  <c r="D97" i="8"/>
  <c r="D98" i="8"/>
  <c r="D99" i="8"/>
  <c r="D100" i="8"/>
  <c r="D74" i="8"/>
  <c r="D43" i="8"/>
  <c r="D44" i="8"/>
  <c r="D45" i="8"/>
  <c r="D46" i="8"/>
  <c r="D47" i="8"/>
  <c r="D48" i="8"/>
  <c r="D49" i="8"/>
  <c r="D50" i="8"/>
  <c r="D51" i="8"/>
  <c r="D52" i="8"/>
  <c r="D53" i="8"/>
  <c r="D54" i="8"/>
  <c r="D55" i="8"/>
  <c r="D56" i="8"/>
  <c r="D57" i="8"/>
  <c r="D58" i="8"/>
  <c r="D59" i="8"/>
  <c r="D60" i="8"/>
  <c r="D61" i="8"/>
  <c r="D62" i="8"/>
  <c r="D63" i="8"/>
  <c r="D64" i="8"/>
  <c r="D65" i="8"/>
  <c r="D66" i="8"/>
  <c r="D67" i="8"/>
  <c r="D68" i="8"/>
  <c r="D42" i="8"/>
  <c r="D9" i="8"/>
  <c r="D10" i="8"/>
  <c r="D11" i="8"/>
  <c r="D12" i="8"/>
  <c r="D13" i="8"/>
  <c r="D14" i="8"/>
  <c r="D15" i="8"/>
  <c r="D16" i="8"/>
  <c r="D17" i="8"/>
  <c r="D18" i="8"/>
  <c r="D19" i="8"/>
  <c r="D20" i="8"/>
  <c r="D21" i="8"/>
  <c r="D22" i="8"/>
  <c r="D23" i="8"/>
  <c r="D24" i="8"/>
  <c r="D25" i="8"/>
  <c r="D26" i="8"/>
  <c r="D27" i="8"/>
  <c r="D28" i="8"/>
  <c r="D29" i="8"/>
  <c r="D30" i="8"/>
  <c r="D31" i="8"/>
  <c r="D32" i="8"/>
  <c r="D33" i="8"/>
  <c r="D34" i="8"/>
  <c r="D8" i="8"/>
  <c r="O44" i="6" l="1"/>
  <c r="N44" i="6"/>
  <c r="M44" i="6"/>
  <c r="O43" i="6"/>
  <c r="N43" i="6"/>
  <c r="M43" i="6"/>
  <c r="O42" i="6"/>
  <c r="N42" i="6"/>
  <c r="M42" i="6"/>
  <c r="O41" i="6"/>
  <c r="N41" i="6"/>
  <c r="M41" i="6"/>
  <c r="O40" i="6"/>
  <c r="N40" i="6"/>
  <c r="M40" i="6"/>
  <c r="O38" i="6"/>
  <c r="N38" i="6"/>
  <c r="M38" i="6"/>
  <c r="O37" i="6"/>
  <c r="N37" i="6"/>
  <c r="M37" i="6"/>
  <c r="O36" i="6"/>
  <c r="N36" i="6"/>
  <c r="M36" i="6"/>
  <c r="O35" i="6"/>
  <c r="N35" i="6"/>
  <c r="M35" i="6"/>
  <c r="O34" i="6"/>
  <c r="N34" i="6"/>
  <c r="M34" i="6"/>
  <c r="O32" i="6"/>
  <c r="N32" i="6"/>
  <c r="M32" i="6"/>
  <c r="O31" i="6"/>
  <c r="N31" i="6"/>
  <c r="M31" i="6"/>
  <c r="O30" i="6"/>
  <c r="N30" i="6"/>
  <c r="M30" i="6"/>
  <c r="O29" i="6"/>
  <c r="N29" i="6"/>
  <c r="M29" i="6"/>
  <c r="O28" i="6"/>
  <c r="N28" i="6"/>
  <c r="M28" i="6"/>
  <c r="O48" i="5"/>
  <c r="N48" i="5"/>
  <c r="M48" i="5"/>
  <c r="L48" i="5"/>
  <c r="K48" i="5"/>
  <c r="J48" i="5"/>
  <c r="I48" i="5"/>
  <c r="H48" i="5"/>
  <c r="G48" i="5"/>
  <c r="F48" i="5"/>
  <c r="E48" i="5"/>
  <c r="D48" i="5"/>
  <c r="O32" i="5"/>
  <c r="N32" i="5"/>
  <c r="M32" i="5"/>
  <c r="L32" i="5"/>
  <c r="K32" i="5"/>
  <c r="J32" i="5"/>
  <c r="I32" i="5"/>
  <c r="H32" i="5"/>
  <c r="G32" i="5"/>
  <c r="F32" i="5"/>
  <c r="E32" i="5"/>
  <c r="D32" i="5"/>
  <c r="O15" i="5"/>
  <c r="N15" i="5"/>
  <c r="M15" i="5"/>
  <c r="L15" i="5"/>
  <c r="K15" i="5"/>
  <c r="J15" i="5"/>
  <c r="I15" i="5"/>
  <c r="H15" i="5"/>
  <c r="G15" i="5"/>
  <c r="F15" i="5"/>
  <c r="E15" i="5"/>
  <c r="D15" i="5"/>
  <c r="P37" i="5"/>
  <c r="P38" i="5"/>
  <c r="P39" i="5"/>
  <c r="P40" i="5"/>
  <c r="P41" i="5"/>
  <c r="P42" i="5"/>
  <c r="P43" i="5"/>
  <c r="P44" i="5"/>
  <c r="P45" i="5"/>
  <c r="P46" i="5"/>
  <c r="P47" i="5"/>
  <c r="P36" i="5"/>
  <c r="P14" i="5"/>
  <c r="P4" i="5"/>
  <c r="P5" i="5"/>
  <c r="P6" i="5"/>
  <c r="P7" i="5"/>
  <c r="P8" i="5"/>
  <c r="P9" i="5"/>
  <c r="P10" i="5"/>
  <c r="P11" i="5"/>
  <c r="P12" i="5"/>
  <c r="P13" i="5"/>
  <c r="P3" i="5"/>
  <c r="P21" i="5"/>
  <c r="P22" i="5"/>
  <c r="P23" i="5"/>
  <c r="P24" i="5"/>
  <c r="P25" i="5"/>
  <c r="P26" i="5"/>
  <c r="P27" i="5"/>
  <c r="P28" i="5"/>
  <c r="P29" i="5"/>
  <c r="P30" i="5"/>
  <c r="P31" i="5"/>
  <c r="P20" i="5"/>
  <c r="C120" i="4"/>
  <c r="C127" i="4"/>
  <c r="C110" i="4"/>
  <c r="C134" i="4"/>
  <c r="C108" i="4"/>
  <c r="C118" i="4"/>
  <c r="C111" i="4"/>
  <c r="C129" i="4"/>
  <c r="C109" i="4"/>
  <c r="C121" i="4"/>
  <c r="C117" i="4"/>
  <c r="C112" i="4"/>
  <c r="C128" i="4"/>
  <c r="C123" i="4"/>
  <c r="C122" i="4"/>
  <c r="C116" i="4"/>
  <c r="C125" i="4"/>
  <c r="C124" i="4"/>
  <c r="C113" i="4"/>
  <c r="C132" i="4"/>
  <c r="C115" i="4"/>
  <c r="C126" i="4"/>
  <c r="C133" i="4"/>
  <c r="C119" i="4"/>
  <c r="C131" i="4"/>
  <c r="C114" i="4"/>
  <c r="C130" i="4"/>
  <c r="AD104" i="4"/>
  <c r="AC104" i="4"/>
  <c r="AB104" i="4"/>
  <c r="AA104" i="4"/>
  <c r="Z104" i="4"/>
  <c r="Y104" i="4"/>
  <c r="X104" i="4"/>
  <c r="W104" i="4"/>
  <c r="V104" i="4"/>
  <c r="U104" i="4"/>
  <c r="T104" i="4"/>
  <c r="S104" i="4"/>
  <c r="R104" i="4"/>
  <c r="Q104" i="4"/>
  <c r="P104" i="4"/>
  <c r="O104" i="4"/>
  <c r="N104" i="4"/>
  <c r="M104" i="4"/>
  <c r="L104" i="4"/>
  <c r="K104" i="4"/>
  <c r="J104" i="4"/>
  <c r="I104" i="4"/>
  <c r="H104" i="4"/>
  <c r="G104" i="4"/>
  <c r="F104" i="4"/>
  <c r="E104" i="4"/>
  <c r="D104" i="4"/>
  <c r="H8" i="3" a="1"/>
  <c r="H8" i="3" s="1"/>
  <c r="D83" i="4"/>
  <c r="D85" i="4"/>
  <c r="D79" i="4"/>
  <c r="D81" i="4"/>
  <c r="D77" i="4"/>
  <c r="D87" i="4"/>
  <c r="P32" i="5" l="1"/>
  <c r="P48" i="5"/>
  <c r="J11" i="3"/>
  <c r="I9" i="3"/>
  <c r="J9" i="3"/>
  <c r="K13" i="3"/>
  <c r="I10" i="3"/>
  <c r="I14" i="3"/>
  <c r="I18" i="3"/>
  <c r="I12" i="3"/>
  <c r="J10" i="3"/>
  <c r="J14" i="3"/>
  <c r="J18" i="3"/>
  <c r="I11" i="3"/>
  <c r="I15" i="3"/>
  <c r="I19" i="3"/>
  <c r="K18" i="3"/>
  <c r="I16" i="3"/>
  <c r="J15" i="3"/>
  <c r="J16" i="3"/>
  <c r="K12" i="3"/>
  <c r="K16" i="3"/>
  <c r="K14" i="3"/>
  <c r="K11" i="3"/>
  <c r="K19" i="3"/>
  <c r="I13" i="3"/>
  <c r="K10" i="3"/>
  <c r="J19" i="3"/>
  <c r="K15" i="3"/>
  <c r="J13" i="3"/>
  <c r="J12" i="3"/>
  <c r="I17" i="3"/>
  <c r="J17" i="3"/>
  <c r="K9" i="3"/>
  <c r="K17" i="3"/>
  <c r="P15" i="5"/>
  <c r="K8" i="3"/>
  <c r="J8" i="3"/>
  <c r="I8" i="3"/>
  <c r="E108" i="4" a="1"/>
  <c r="E108" i="4" s="1"/>
  <c r="F108" i="4" s="1"/>
  <c r="I20" i="3" l="1"/>
  <c r="K20" i="3"/>
  <c r="J20" i="3"/>
  <c r="F110" i="4"/>
  <c r="F113" i="4"/>
  <c r="F119" i="4"/>
  <c r="F117" i="4"/>
  <c r="F116" i="4"/>
  <c r="F115" i="4"/>
  <c r="F114" i="4"/>
  <c r="F118" i="4"/>
  <c r="F112" i="4"/>
  <c r="F111" i="4"/>
  <c r="F109" i="4"/>
  <c r="M13" i="3" l="1"/>
  <c r="M9" i="3"/>
  <c r="M17" i="3"/>
  <c r="M14" i="3"/>
  <c r="M12" i="3"/>
  <c r="M15" i="3"/>
  <c r="M18" i="3"/>
  <c r="M16" i="3"/>
  <c r="M11" i="3"/>
  <c r="M10" i="3"/>
  <c r="M8" i="3"/>
  <c r="M20" i="3" s="1"/>
  <c r="N9" i="3"/>
  <c r="N10" i="3"/>
  <c r="N13" i="3"/>
  <c r="N14" i="3"/>
  <c r="N17" i="3"/>
  <c r="N18" i="3"/>
  <c r="N12" i="3"/>
  <c r="N16" i="3"/>
  <c r="N11" i="3"/>
  <c r="N15" i="3"/>
  <c r="N8" i="3"/>
  <c r="L10" i="3"/>
  <c r="L12" i="3"/>
  <c r="L17" i="3"/>
  <c r="L16" i="3"/>
  <c r="L18" i="3"/>
  <c r="L14" i="3"/>
  <c r="L11" i="3"/>
  <c r="L9" i="3"/>
  <c r="L15" i="3"/>
  <c r="L13" i="3"/>
  <c r="L8" i="3"/>
  <c r="F120" i="4"/>
  <c r="N20" i="3" l="1"/>
  <c r="L20" i="3"/>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<sst xmlns="http://schemas.openxmlformats.org/spreadsheetml/2006/main" count="2815" uniqueCount="191">
  <si>
    <t>Sector</t>
  </si>
  <si>
    <t>Year</t>
  </si>
  <si>
    <t>Month</t>
  </si>
  <si>
    <t>Cereals and products</t>
  </si>
  <si>
    <t>Meat and fish</t>
  </si>
  <si>
    <t>Egg</t>
  </si>
  <si>
    <t>Milk and products</t>
  </si>
  <si>
    <t>Oils and fats</t>
  </si>
  <si>
    <t>Fruits</t>
  </si>
  <si>
    <t>Vegetables</t>
  </si>
  <si>
    <t>Pulses and products</t>
  </si>
  <si>
    <t>Sugar and Confectionery</t>
  </si>
  <si>
    <t>Spices</t>
  </si>
  <si>
    <t>Non-alcoholic beverages</t>
  </si>
  <si>
    <t>Prepared meals, snacks, sweets etc.</t>
  </si>
  <si>
    <t>Food and beverages</t>
  </si>
  <si>
    <t>Pan, tobacco and intoxicants</t>
  </si>
  <si>
    <t>Clothing</t>
  </si>
  <si>
    <t>Footwear</t>
  </si>
  <si>
    <t>Clothing and footwear</t>
  </si>
  <si>
    <t>Housing</t>
  </si>
  <si>
    <t>Fuel and light</t>
  </si>
  <si>
    <t>Household goods and services</t>
  </si>
  <si>
    <t>Health</t>
  </si>
  <si>
    <t>Transport and communication</t>
  </si>
  <si>
    <t>Recreation and amusement</t>
  </si>
  <si>
    <t>Education</t>
  </si>
  <si>
    <t>Personal care and effects</t>
  </si>
  <si>
    <t>Miscellaneous</t>
  </si>
  <si>
    <t>General index</t>
  </si>
  <si>
    <t>Rural</t>
  </si>
  <si>
    <t>January</t>
  </si>
  <si>
    <t>NA</t>
  </si>
  <si>
    <t>Urban</t>
  </si>
  <si>
    <t>Rural+Urban</t>
  </si>
  <si>
    <t>February</t>
  </si>
  <si>
    <t>March</t>
  </si>
  <si>
    <t>April</t>
  </si>
  <si>
    <t>May</t>
  </si>
  <si>
    <t>June</t>
  </si>
  <si>
    <t>July</t>
  </si>
  <si>
    <t>August</t>
  </si>
  <si>
    <t>September</t>
  </si>
  <si>
    <t>October</t>
  </si>
  <si>
    <t xml:space="preserve">November </t>
  </si>
  <si>
    <t>November</t>
  </si>
  <si>
    <t>December</t>
  </si>
  <si>
    <t>Marcrh</t>
  </si>
  <si>
    <t>-</t>
  </si>
  <si>
    <t>Category</t>
  </si>
  <si>
    <t>New Category Mapped</t>
  </si>
  <si>
    <t>Food</t>
  </si>
  <si>
    <t>Luxury</t>
  </si>
  <si>
    <t>Apparel</t>
  </si>
  <si>
    <t>Transport</t>
  </si>
  <si>
    <t>GI</t>
  </si>
  <si>
    <t>Problem 1</t>
  </si>
  <si>
    <t>May'23</t>
  </si>
  <si>
    <t>Misc</t>
  </si>
  <si>
    <t>Rural%</t>
  </si>
  <si>
    <t>Urban%</t>
  </si>
  <si>
    <t>Rural+Urban%</t>
  </si>
  <si>
    <t>Grand Total</t>
  </si>
  <si>
    <t>Problem 2</t>
  </si>
  <si>
    <t>YoY</t>
  </si>
  <si>
    <t>Time Period - May'23</t>
  </si>
  <si>
    <t>starting from 2017</t>
  </si>
  <si>
    <t>we don't have complete data for 2023</t>
  </si>
  <si>
    <t>so we skip 2023 and take data till 2022</t>
  </si>
  <si>
    <t>Sum of General index</t>
  </si>
  <si>
    <t>YoY%</t>
  </si>
  <si>
    <t>Inflation Rate (YoY%)</t>
  </si>
  <si>
    <t>MoM%</t>
  </si>
  <si>
    <t>New Category mapped</t>
  </si>
  <si>
    <t>Inflation rate</t>
  </si>
  <si>
    <t>Problem 3</t>
  </si>
  <si>
    <t>ending May'23</t>
  </si>
  <si>
    <t>Only food category</t>
  </si>
  <si>
    <t>Jun'22 to May'23 - Mom%</t>
  </si>
  <si>
    <t>Rural, Urban and Rural + Urban</t>
  </si>
  <si>
    <t>Rural + Urban</t>
  </si>
  <si>
    <t>Problem 4</t>
  </si>
  <si>
    <t>Impact of Covid on inflation</t>
  </si>
  <si>
    <t>Mar'20</t>
  </si>
  <si>
    <t>Essential services</t>
  </si>
  <si>
    <t>Special Categories</t>
  </si>
  <si>
    <t>Problem 5</t>
  </si>
  <si>
    <t>Imported oil prices</t>
  </si>
  <si>
    <t>take it from Google</t>
  </si>
  <si>
    <t>Jan'21</t>
  </si>
  <si>
    <t>Average of Food</t>
  </si>
  <si>
    <t>Average of Health</t>
  </si>
  <si>
    <t>Essentital Services</t>
  </si>
  <si>
    <t>Average of Essentital Services</t>
  </si>
  <si>
    <t>Inflation of Food</t>
  </si>
  <si>
    <t>Inflation of Health</t>
  </si>
  <si>
    <t>Inflation of Essentital Services</t>
  </si>
  <si>
    <t xml:space="preserve"> Food</t>
  </si>
  <si>
    <t xml:space="preserve"> Health</t>
  </si>
  <si>
    <t xml:space="preserve"> Essentital Services</t>
  </si>
  <si>
    <t>2018</t>
  </si>
  <si>
    <t>2019</t>
  </si>
  <si>
    <t>2020</t>
  </si>
  <si>
    <t>2021</t>
  </si>
  <si>
    <t>2022</t>
  </si>
  <si>
    <t>2020-21</t>
  </si>
  <si>
    <t>75.62:24.38</t>
  </si>
  <si>
    <t>2021-22</t>
  </si>
  <si>
    <t>2022-23</t>
  </si>
  <si>
    <t>Average</t>
  </si>
  <si>
    <t>Ratio *</t>
  </si>
  <si>
    <t>December-2020</t>
  </si>
  <si>
    <t>January-2021</t>
  </si>
  <si>
    <t>February-2021</t>
  </si>
  <si>
    <t>March-2021</t>
  </si>
  <si>
    <t>April-2021</t>
  </si>
  <si>
    <t>May-2021</t>
  </si>
  <si>
    <t>June-2021</t>
  </si>
  <si>
    <t>July-2021</t>
  </si>
  <si>
    <t>August-2021</t>
  </si>
  <si>
    <t>September-2021</t>
  </si>
  <si>
    <t>October-2021</t>
  </si>
  <si>
    <t>November-2021</t>
  </si>
  <si>
    <t>December-2021</t>
  </si>
  <si>
    <t>January-2022</t>
  </si>
  <si>
    <t>February-2022</t>
  </si>
  <si>
    <t>March-2022</t>
  </si>
  <si>
    <t>April-2022</t>
  </si>
  <si>
    <t>May-2022</t>
  </si>
  <si>
    <t>June-2022</t>
  </si>
  <si>
    <t>July-2022</t>
  </si>
  <si>
    <t>August-2022</t>
  </si>
  <si>
    <t>September-2022</t>
  </si>
  <si>
    <t>October-2022</t>
  </si>
  <si>
    <t>November-2022</t>
  </si>
  <si>
    <t>December-2022</t>
  </si>
  <si>
    <t>January-2023</t>
  </si>
  <si>
    <t>February-2023</t>
  </si>
  <si>
    <t>March-2023</t>
  </si>
  <si>
    <t>copy pasted data &gt;&gt;</t>
  </si>
  <si>
    <t>2000-01</t>
  </si>
  <si>
    <t>57:43</t>
  </si>
  <si>
    <t>2001-02</t>
  </si>
  <si>
    <t>2002-03</t>
  </si>
  <si>
    <t>2003-04</t>
  </si>
  <si>
    <t>2004-05</t>
  </si>
  <si>
    <t>2005-06</t>
  </si>
  <si>
    <t>58:42</t>
  </si>
  <si>
    <t>2006-07</t>
  </si>
  <si>
    <t>59.8:40.2</t>
  </si>
  <si>
    <t>2007-08</t>
  </si>
  <si>
    <t>61.4:38.6</t>
  </si>
  <si>
    <t>2008-09</t>
  </si>
  <si>
    <t>62.3:37.7</t>
  </si>
  <si>
    <t>2009-10</t>
  </si>
  <si>
    <t>63.5:36.5</t>
  </si>
  <si>
    <t>2010-11</t>
  </si>
  <si>
    <t>67.6:32.4</t>
  </si>
  <si>
    <t>2011-12</t>
  </si>
  <si>
    <t>65.2:34.8</t>
  </si>
  <si>
    <t>2012-13</t>
  </si>
  <si>
    <t>68.2:31.8</t>
  </si>
  <si>
    <t>2013-14</t>
  </si>
  <si>
    <t>69.9:30.1</t>
  </si>
  <si>
    <t>2014-15</t>
  </si>
  <si>
    <t>72.04:27.96</t>
  </si>
  <si>
    <t>2015-16</t>
  </si>
  <si>
    <t>72.28:27.72</t>
  </si>
  <si>
    <t>2016-17</t>
  </si>
  <si>
    <t>71.03:28.97</t>
  </si>
  <si>
    <t>2017-18</t>
  </si>
  <si>
    <t>72.38:27.62</t>
  </si>
  <si>
    <t>2018-19</t>
  </si>
  <si>
    <t>74.77:25.23</t>
  </si>
  <si>
    <t>2019-20</t>
  </si>
  <si>
    <t>75.50:24.50</t>
  </si>
  <si>
    <t>2023-24</t>
  </si>
  <si>
    <t>2024-25</t>
  </si>
  <si>
    <t>78.50:21.50</t>
  </si>
  <si>
    <t>Notes:</t>
  </si>
  <si>
    <t>* The composition of Indian Basket of Crude represents Average of Oman &amp; Dubai for sour grades and Brent (Dated) for sweet grade in the ratio of  crude processed during previous financial year, e.g. ratio of crude processed as indicated in the table above.</t>
  </si>
  <si>
    <t>- Crude oil prices are average of daily prices of respective month.</t>
  </si>
  <si>
    <t>Crude Oil FOB Price (Indian Basket)</t>
  </si>
  <si>
    <t>Table Posted: (01-04-2025)</t>
  </si>
  <si>
    <t>Period : Since 2000-01</t>
  </si>
  <si>
    <t>Petroleum Planning &amp; Analysis Cell</t>
  </si>
  <si>
    <t>($/bbl.)</t>
  </si>
  <si>
    <t xml:space="preserve">source: sheet4 </t>
  </si>
  <si>
    <t>Oil Prices (in $)</t>
  </si>
  <si>
    <t>New Category</t>
  </si>
  <si>
    <t>Correlation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</si>
</sst>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mmmm"/>
  </numFmts>
  <fonts count="27"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8"/>
      <name val="Calibri"/>
      <family val="2"/>
      <scheme val="minor"/>
    </font>
    <font>
      <sz val="10"/>
      <name val="Arial"/>
      <family val="2"/>
    </font>
    <font>
      <b/>
      <sz val="12"/>
      <name val="Times New Roman"/>
      <family val="1"/>
    </font>
    <font>
      <sz val="12"/>
      <color theme="1"/>
      <name val="Times New Roman"/>
      <family val="1"/>
    </font>
    <font>
      <b/>
      <sz val="12"/>
      <color theme="1"/>
      <name val="Times New Roman"/>
      <family val="1"/>
    </font>
    <font>
      <i/>
      <sz val="12"/>
      <name val="Times New Roman"/>
      <family val="1"/>
    </font>
    <font>
      <i/>
      <sz val="12"/>
      <color theme="1"/>
      <name val="Times New Roman"/>
      <family val="1"/>
    </font>
    <font>
      <b/>
      <sz val="14"/>
      <name val="Times New Roman"/>
      <family val="1"/>
    </font>
    <font>
      <b/>
      <u/>
      <sz val="16"/>
      <color theme="1"/>
      <name val="Times New Roman"/>
      <family val="1"/>
    </font>
  </fonts>
  <fills count="39">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bgColor theme="4"/>
      </patternFill>
    </fill>
    <fill>
      <patternFill patternType="solid">
        <fgColor theme="4" tint="0.79998168889431442"/>
        <bgColor theme="4" tint="0.79998168889431442"/>
      </patternFill>
    </fill>
    <fill>
      <patternFill patternType="solid">
        <fgColor rgb="FF002060"/>
        <bgColor indexed="64"/>
      </patternFill>
    </fill>
    <fill>
      <patternFill patternType="solid">
        <fgColor rgb="FFFFC000"/>
        <bgColor indexed="64"/>
      </patternFill>
    </fill>
    <fill>
      <patternFill patternType="solid">
        <fgColor rgb="FF92D050"/>
        <bgColor indexed="64"/>
      </patternFill>
    </fill>
    <fill>
      <patternFill patternType="solid">
        <fgColor rgb="FFFFFF00"/>
        <bgColor indexed="64"/>
      </patternFill>
    </fill>
  </fills>
  <borders count="2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style="thin">
        <color indexed="64"/>
      </left>
      <right style="thin">
        <color indexed="64"/>
      </right>
      <top style="thin">
        <color indexed="64"/>
      </top>
      <bottom style="thin">
        <color indexed="64"/>
      </bottom>
      <diagonal/>
    </border>
    <border>
      <left/>
      <right/>
      <top style="thin">
        <color theme="4" tint="0.39997558519241921"/>
      </top>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bottom style="thin">
        <color indexed="64"/>
      </bottom>
      <diagonal/>
    </border>
  </borders>
  <cellStyleXfs count="44">
    <xf numFmtId="0" fontId="0" fillId="0" borderId="0"/>
    <xf numFmtId="9"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9" fillId="0" borderId="0"/>
  </cellStyleXfs>
  <cellXfs count="77">
    <xf numFmtId="0" fontId="0" fillId="0" borderId="0" xfId="0"/>
    <xf numFmtId="0" fontId="13" fillId="33" borderId="10" xfId="0" applyFont="1" applyFill="1" applyBorder="1"/>
    <xf numFmtId="0" fontId="13" fillId="33" borderId="11" xfId="0" applyFont="1" applyFill="1" applyBorder="1"/>
    <xf numFmtId="0" fontId="0" fillId="34" borderId="10" xfId="0" applyFill="1" applyBorder="1"/>
    <xf numFmtId="0" fontId="0" fillId="34" borderId="11" xfId="0" applyFill="1" applyBorder="1"/>
    <xf numFmtId="0" fontId="0" fillId="0" borderId="10" xfId="0" applyBorder="1"/>
    <xf numFmtId="0" fontId="0" fillId="0" borderId="11" xfId="0" applyBorder="1"/>
    <xf numFmtId="0" fontId="13" fillId="33" borderId="12" xfId="0" applyFont="1" applyFill="1" applyBorder="1"/>
    <xf numFmtId="0" fontId="0" fillId="34" borderId="12" xfId="0" applyFill="1" applyBorder="1"/>
    <xf numFmtId="0" fontId="0" fillId="0" borderId="12" xfId="0" applyBorder="1"/>
    <xf numFmtId="0" fontId="16" fillId="0" borderId="0" xfId="0" applyFont="1"/>
    <xf numFmtId="0" fontId="13" fillId="35" borderId="13" xfId="0" applyFont="1" applyFill="1" applyBorder="1" applyAlignment="1">
      <alignment horizontal="center" vertical="center"/>
    </xf>
    <xf numFmtId="0" fontId="0" fillId="0" borderId="13" xfId="0" applyBorder="1" applyAlignment="1">
      <alignment horizontal="center" vertical="center"/>
    </xf>
    <xf numFmtId="10" fontId="0" fillId="0" borderId="0" xfId="1" applyNumberFormat="1" applyFont="1"/>
    <xf numFmtId="0" fontId="14" fillId="0" borderId="13" xfId="0" applyFont="1" applyBorder="1" applyAlignment="1">
      <alignment horizontal="center" vertical="center"/>
    </xf>
    <xf numFmtId="0" fontId="0" fillId="0" borderId="13" xfId="0" applyBorder="1" applyAlignment="1">
      <alignment horizontal="center"/>
    </xf>
    <xf numFmtId="0" fontId="14" fillId="0" borderId="13" xfId="0" applyFont="1" applyBorder="1" applyAlignment="1">
      <alignment horizontal="center"/>
    </xf>
    <xf numFmtId="0" fontId="13" fillId="35" borderId="13" xfId="0" applyFont="1" applyFill="1" applyBorder="1" applyAlignment="1">
      <alignment horizontal="center"/>
    </xf>
    <xf numFmtId="9" fontId="13" fillId="35" borderId="13" xfId="1" applyFont="1" applyFill="1" applyBorder="1" applyAlignment="1">
      <alignment horizontal="center"/>
    </xf>
    <xf numFmtId="164" fontId="0" fillId="0" borderId="13" xfId="1" applyNumberFormat="1" applyFont="1" applyBorder="1" applyAlignment="1">
      <alignment horizontal="center"/>
    </xf>
    <xf numFmtId="0" fontId="0" fillId="0" borderId="0" xfId="0" pivotButton="1"/>
    <xf numFmtId="0" fontId="0" fillId="0" borderId="0" xfId="0" applyAlignment="1">
      <alignment horizontal="center" vertical="center"/>
    </xf>
    <xf numFmtId="10" fontId="13" fillId="35" borderId="13" xfId="1" applyNumberFormat="1" applyFont="1" applyFill="1" applyBorder="1" applyAlignment="1">
      <alignment horizontal="center" vertical="center"/>
    </xf>
    <xf numFmtId="10" fontId="0" fillId="0" borderId="13" xfId="1" applyNumberFormat="1" applyFont="1" applyBorder="1" applyAlignment="1">
      <alignment horizontal="center" vertical="center"/>
    </xf>
    <xf numFmtId="10" fontId="0" fillId="34" borderId="11" xfId="1" applyNumberFormat="1" applyFont="1" applyFill="1" applyBorder="1"/>
    <xf numFmtId="10" fontId="0" fillId="0" borderId="11" xfId="1" applyNumberFormat="1" applyFont="1" applyBorder="1"/>
    <xf numFmtId="10" fontId="13" fillId="33" borderId="11" xfId="1" applyNumberFormat="1" applyFont="1" applyFill="1" applyBorder="1"/>
    <xf numFmtId="0" fontId="0" fillId="34" borderId="0" xfId="0" applyFill="1"/>
    <xf numFmtId="10" fontId="0" fillId="34" borderId="0" xfId="1" applyNumberFormat="1" applyFont="1" applyFill="1" applyBorder="1"/>
    <xf numFmtId="164" fontId="0" fillId="0" borderId="0" xfId="1" applyNumberFormat="1" applyFont="1" applyAlignment="1">
      <alignment horizontal="center" vertical="center"/>
    </xf>
    <xf numFmtId="0" fontId="14" fillId="0" borderId="0" xfId="0" applyFont="1" applyAlignment="1">
      <alignment horizontal="center" vertical="center"/>
    </xf>
    <xf numFmtId="164" fontId="14" fillId="0" borderId="0" xfId="1" applyNumberFormat="1" applyFont="1" applyAlignment="1">
      <alignment horizontal="center" vertical="center"/>
    </xf>
    <xf numFmtId="0" fontId="0" fillId="0" borderId="15" xfId="0" applyBorder="1" applyAlignment="1">
      <alignment horizontal="center" vertical="center"/>
    </xf>
    <xf numFmtId="10" fontId="0" fillId="0" borderId="16" xfId="1" applyNumberFormat="1" applyFont="1" applyBorder="1" applyAlignment="1">
      <alignment horizontal="center" vertical="center"/>
    </xf>
    <xf numFmtId="0" fontId="0" fillId="0" borderId="17" xfId="0" applyBorder="1" applyAlignment="1">
      <alignment horizontal="center" vertical="center"/>
    </xf>
    <xf numFmtId="10" fontId="0" fillId="0" borderId="19" xfId="1" applyNumberFormat="1" applyFont="1" applyBorder="1" applyAlignment="1">
      <alignment horizontal="center" vertical="center"/>
    </xf>
    <xf numFmtId="0" fontId="16" fillId="0" borderId="0" xfId="0" applyFont="1" applyAlignment="1">
      <alignment horizontal="center" vertical="center"/>
    </xf>
    <xf numFmtId="164" fontId="16" fillId="0" borderId="0" xfId="1" applyNumberFormat="1" applyFont="1" applyAlignment="1">
      <alignment horizontal="center" vertical="center"/>
    </xf>
    <xf numFmtId="0" fontId="0" fillId="0" borderId="16" xfId="0" applyBorder="1" applyAlignment="1">
      <alignment horizontal="center" vertical="center"/>
    </xf>
    <xf numFmtId="10" fontId="0" fillId="0" borderId="18" xfId="1" applyNumberFormat="1" applyFont="1" applyBorder="1" applyAlignment="1">
      <alignment horizontal="center" vertical="center"/>
    </xf>
    <xf numFmtId="0" fontId="0" fillId="0" borderId="19" xfId="0" applyBorder="1" applyAlignment="1">
      <alignment horizontal="center" vertical="center"/>
    </xf>
    <xf numFmtId="10" fontId="0" fillId="0" borderId="0" xfId="1" applyNumberFormat="1" applyFont="1" applyBorder="1" applyAlignment="1">
      <alignment horizontal="center" vertical="center"/>
    </xf>
    <xf numFmtId="0" fontId="0" fillId="34" borderId="0" xfId="0" applyFill="1" applyAlignment="1">
      <alignment horizontal="center" vertical="center"/>
    </xf>
    <xf numFmtId="10" fontId="0" fillId="34" borderId="0" xfId="1" applyNumberFormat="1" applyFont="1" applyFill="1" applyBorder="1" applyAlignment="1">
      <alignment horizontal="center" vertical="center"/>
    </xf>
    <xf numFmtId="10" fontId="0" fillId="0" borderId="0" xfId="1" applyNumberFormat="1" applyFont="1" applyAlignment="1">
      <alignment horizontal="center" vertical="center"/>
    </xf>
    <xf numFmtId="0" fontId="13" fillId="33" borderId="0" xfId="0" applyFont="1" applyFill="1" applyAlignment="1">
      <alignment horizontal="center" vertical="center"/>
    </xf>
    <xf numFmtId="10" fontId="13" fillId="33" borderId="0" xfId="1" applyNumberFormat="1" applyFont="1" applyFill="1" applyBorder="1" applyAlignment="1">
      <alignment horizontal="center" vertical="center"/>
    </xf>
    <xf numFmtId="0" fontId="16" fillId="36" borderId="13" xfId="0" applyFont="1" applyFill="1" applyBorder="1" applyAlignment="1">
      <alignment horizontal="center" vertical="center"/>
    </xf>
    <xf numFmtId="0" fontId="0" fillId="0" borderId="14" xfId="0" applyBorder="1" applyAlignment="1">
      <alignment horizontal="center"/>
    </xf>
    <xf numFmtId="0" fontId="0" fillId="34" borderId="10" xfId="0" applyFont="1" applyFill="1" applyBorder="1"/>
    <xf numFmtId="0" fontId="0" fillId="0" borderId="10" xfId="0" applyFont="1" applyBorder="1"/>
    <xf numFmtId="0" fontId="0" fillId="0" borderId="0" xfId="0" applyNumberFormat="1"/>
    <xf numFmtId="9" fontId="0" fillId="0" borderId="0" xfId="1" applyFont="1"/>
    <xf numFmtId="165" fontId="20" fillId="37" borderId="13" xfId="43" applyNumberFormat="1" applyFont="1" applyFill="1" applyBorder="1" applyAlignment="1">
      <alignment horizontal="left" vertical="center"/>
    </xf>
    <xf numFmtId="165" fontId="20" fillId="37" borderId="13" xfId="43" applyNumberFormat="1" applyFont="1" applyFill="1" applyBorder="1" applyAlignment="1">
      <alignment horizontal="right" vertical="center"/>
    </xf>
    <xf numFmtId="0" fontId="16" fillId="0" borderId="13" xfId="0" applyFont="1" applyBorder="1"/>
    <xf numFmtId="2" fontId="0" fillId="0" borderId="13" xfId="0" applyNumberFormat="1" applyBorder="1"/>
    <xf numFmtId="165" fontId="20" fillId="0" borderId="13" xfId="43" quotePrefix="1" applyNumberFormat="1" applyFont="1" applyBorder="1" applyAlignment="1">
      <alignment horizontal="left" vertical="center"/>
    </xf>
    <xf numFmtId="4" fontId="21" fillId="0" borderId="13" xfId="0" applyNumberFormat="1" applyFont="1" applyBorder="1" applyAlignment="1">
      <alignment horizontal="right" vertical="center"/>
    </xf>
    <xf numFmtId="4" fontId="22" fillId="0" borderId="13" xfId="0" applyNumberFormat="1" applyFont="1" applyBorder="1" applyAlignment="1">
      <alignment horizontal="right" vertical="center"/>
    </xf>
    <xf numFmtId="49" fontId="22" fillId="0" borderId="13" xfId="0" applyNumberFormat="1" applyFont="1" applyBorder="1" applyAlignment="1">
      <alignment horizontal="right" vertical="center"/>
    </xf>
    <xf numFmtId="165" fontId="20" fillId="0" borderId="13" xfId="43" applyNumberFormat="1" applyFont="1" applyBorder="1" applyAlignment="1">
      <alignment horizontal="left" vertical="center"/>
    </xf>
    <xf numFmtId="4" fontId="21" fillId="38" borderId="13" xfId="0" applyNumberFormat="1" applyFont="1" applyFill="1" applyBorder="1" applyAlignment="1">
      <alignment horizontal="right" vertical="center"/>
    </xf>
    <xf numFmtId="0" fontId="20" fillId="0" borderId="0" xfId="0" applyFont="1" applyAlignment="1">
      <alignment wrapText="1"/>
    </xf>
    <xf numFmtId="0" fontId="23" fillId="0" borderId="0" xfId="0" applyFont="1"/>
    <xf numFmtId="0" fontId="24" fillId="0" borderId="0" xfId="0" applyFont="1"/>
    <xf numFmtId="0" fontId="21" fillId="0" borderId="0" xfId="0" applyFont="1"/>
    <xf numFmtId="0" fontId="23" fillId="0" borderId="0" xfId="0" quotePrefix="1" applyFont="1" applyAlignment="1">
      <alignment horizontal="left" vertical="top" wrapText="1"/>
    </xf>
    <xf numFmtId="0" fontId="25" fillId="38" borderId="0" xfId="43" applyFont="1" applyFill="1" applyAlignment="1">
      <alignment horizontal="center" vertical="center"/>
    </xf>
    <xf numFmtId="0" fontId="20" fillId="0" borderId="0" xfId="43" applyFont="1"/>
    <xf numFmtId="0" fontId="26" fillId="0" borderId="0" xfId="0" applyFont="1" applyAlignment="1">
      <alignment horizontal="center" vertical="center"/>
    </xf>
    <xf numFmtId="0" fontId="20" fillId="0" borderId="20" xfId="43" applyFont="1" applyBorder="1" applyAlignment="1">
      <alignment vertical="center"/>
    </xf>
    <xf numFmtId="0" fontId="20" fillId="0" borderId="0" xfId="43" applyFont="1" applyAlignment="1">
      <alignment vertical="center"/>
    </xf>
    <xf numFmtId="0" fontId="20" fillId="0" borderId="0" xfId="43" applyFont="1" applyAlignment="1">
      <alignment horizontal="right"/>
    </xf>
    <xf numFmtId="0" fontId="0" fillId="0" borderId="0" xfId="0" applyFont="1"/>
    <xf numFmtId="9" fontId="0" fillId="0" borderId="0" xfId="1" applyNumberFormat="1" applyFont="1"/>
    <xf numFmtId="9" fontId="0" fillId="0" borderId="0" xfId="1" applyFont="1" applyAlignment="1">
      <alignment horizontal="center" vertical="center"/>
    </xf>
  </cellXfs>
  <cellStyles count="44">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rmal 4" xfId="43" xr:uid="{33707A9C-1224-4AA9-A86E-9FB0C4CE2894}"/>
    <cellStyle name="Note" xfId="16" builtinId="10" customBuiltin="1"/>
    <cellStyle name="Output" xfId="11" builtinId="21" customBuiltin="1"/>
    <cellStyle name="Percent" xfId="1" builtinId="5"/>
    <cellStyle name="Title" xfId="2" builtinId="15" customBuiltin="1"/>
    <cellStyle name="Total" xfId="18" builtinId="25" customBuiltin="1"/>
    <cellStyle name="Warning Text" xfId="15" builtinId="11" customBuiltin="1"/>
  </cellStyles>
  <dxfs count="70">
    <dxf>
      <alignment horizontal="center"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dxf>
    <dxf>
      <alignment horizontal="center"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3" formatCode="0%"/>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numFmt numFmtId="13" formatCode="0%"/>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numFmt numFmtId="13" formatCode="0%"/>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dxf>
    <dxf>
      <alignment horizontal="center"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4" formatCode="0.00%"/>
      <alignment horizontal="center"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4" formatCode="0.00%"/>
      <alignment horizontal="center"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4" formatCode="0.00%"/>
      <alignment horizontal="center"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4" formatCode="0.00%"/>
      <alignment horizontal="center"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4" formatCode="0.00%"/>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center" textRotation="0" wrapText="0" indent="0" justifyLastLine="0" shrinkToFit="0" readingOrder="0"/>
    </dxf>
    <dxf>
      <fill>
        <patternFill patternType="solid">
          <fgColor theme="4" tint="0.79998168889431442"/>
          <bgColor theme="4" tint="0.79998168889431442"/>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4" formatCode="0.00%"/>
      <fill>
        <patternFill patternType="solid">
          <fgColor theme="4" tint="0.79998168889431442"/>
          <bgColor theme="4" tint="0.79998168889431442"/>
        </patternFill>
      </fill>
      <alignment horizontal="center" vertical="center" textRotation="0" wrapText="0" indent="0" justifyLastLine="0" shrinkToFit="0" readingOrder="0"/>
    </dxf>
    <dxf>
      <fill>
        <patternFill patternType="solid">
          <fgColor theme="4" tint="0.79998168889431442"/>
          <bgColor theme="4" tint="0.79998168889431442"/>
        </patternFill>
      </fill>
      <alignment horizontal="center" vertical="center" textRotation="0" wrapText="0" indent="0" justifyLastLine="0" shrinkToFit="0" readingOrder="0"/>
    </dxf>
    <dxf>
      <fill>
        <patternFill patternType="solid">
          <fgColor theme="4" tint="0.79998168889431442"/>
          <bgColor theme="4" tint="0.79998168889431442"/>
        </patternFill>
      </fill>
      <alignment horizontal="center" vertical="center" textRotation="0" wrapText="0" indent="0" justifyLastLine="0" shrinkToFit="0" readingOrder="0"/>
    </dxf>
    <dxf>
      <fill>
        <patternFill patternType="solid">
          <fgColor theme="4" tint="0.79998168889431442"/>
          <bgColor theme="4" tint="0.79998168889431442"/>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4" formatCode="0.00%"/>
      <alignment horizontal="center"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4" formatCode="0.00%"/>
      <alignment horizontal="center"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4" formatCode="0.00%"/>
      <alignment horizontal="center" vertical="center" textRotation="0" wrapText="0" indent="0" justifyLastLine="0" shrinkToFit="0" readingOrder="0"/>
    </dxf>
    <dxf>
      <alignment horizontal="center"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dxf>
    <dxf>
      <alignment horizontal="center"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4" formatCode="0.00%"/>
      <fill>
        <patternFill patternType="solid">
          <fgColor theme="4" tint="0.79998168889431442"/>
          <bgColor theme="4" tint="0.79998168889431442"/>
        </patternFill>
      </fill>
      <alignment horizontal="center" vertical="center" textRotation="0" wrapText="0" indent="0" justifyLastLine="0" shrinkToFit="0" readingOrder="0"/>
    </dxf>
    <dxf>
      <fill>
        <patternFill patternType="solid">
          <fgColor theme="4" tint="0.79998168889431442"/>
          <bgColor theme="4" tint="0.79998168889431442"/>
        </patternFill>
      </fill>
      <alignment horizontal="center" vertical="center" textRotation="0" wrapText="0" indent="0" justifyLastLine="0" shrinkToFit="0" readingOrder="0"/>
    </dxf>
    <dxf>
      <fill>
        <patternFill patternType="solid">
          <fgColor theme="4" tint="0.79998168889431442"/>
          <bgColor theme="4" tint="0.79998168889431442"/>
        </patternFill>
      </fill>
      <alignment horizontal="center" vertical="center" textRotation="0" wrapText="0" indent="0" justifyLastLine="0" shrinkToFit="0" readingOrder="0"/>
    </dxf>
    <dxf>
      <fill>
        <patternFill patternType="solid">
          <fgColor theme="4" tint="0.79998168889431442"/>
          <bgColor theme="4" tint="0.79998168889431442"/>
        </patternFill>
      </fill>
      <alignment horizontal="center" vertical="center" textRotation="0" wrapText="0" indent="0" justifyLastLine="0" shrinkToFit="0" readingOrder="0"/>
    </dxf>
    <dxf>
      <fill>
        <patternFill patternType="solid">
          <fgColor theme="4" tint="0.79998168889431442"/>
          <bgColor theme="4" tint="0.79998168889431442"/>
        </patternFill>
      </fill>
      <alignment horizontal="center" vertical="center" textRotation="0" wrapText="0"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4" formatCode="0.00%"/>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center" textRotation="0" wrapText="0" indent="0" justifyLastLine="0" shrinkToFit="0" readingOrder="0"/>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alignment horizontal="center" vertical="center" textRotation="0" wrapText="0"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numFmt numFmtId="14" formatCode="0.0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numFmt numFmtId="164" formatCode="0.0%"/>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4" formatCode="0.00%"/>
      <alignment horizontal="center" vertical="center" textRotation="0" wrapText="0"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numFmt numFmtId="164" formatCode="0.0%"/>
      <alignment horizontal="center" vertical="center" textRotation="0" wrapText="0" indent="0" justifyLastLine="0" shrinkToFit="0" readingOrder="0"/>
    </dxf>
    <dxf>
      <numFmt numFmtId="164" formatCode="0.0%"/>
      <alignment horizontal="center" vertical="center" textRotation="0" wrapText="0" indent="0" justifyLastLine="0" shrinkToFit="0" readingOrder="0"/>
    </dxf>
    <dxf>
      <numFmt numFmtId="164" formatCode="0.0%"/>
      <alignment horizontal="center" vertical="center" textRotation="0" wrapText="0" indent="0" justifyLastLine="0" shrinkToFit="0" readingOrder="0"/>
    </dxf>
    <dxf>
      <alignment horizontal="center" vertical="center" textRotation="0" wrapText="0" indent="0" justifyLastLine="0" shrinkToFit="0" readingOrder="0"/>
      <border diagonalUp="0" diagonalDown="0" outline="0">
        <left/>
        <right/>
        <top style="thin">
          <color indexed="64"/>
        </top>
        <bottom style="thin">
          <color indexed="64"/>
        </bottom>
      </border>
    </dxf>
    <dxf>
      <border outline="0">
        <left style="thin">
          <color indexed="64"/>
        </left>
      </border>
    </dxf>
    <dxf>
      <alignment horizontal="center" vertical="center" textRotation="0" wrapText="0" indent="0" justifyLastLine="0" shrinkToFit="0" readingOrder="0"/>
    </dxf>
    <dxf>
      <alignment horizontal="center"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17/10/relationships/person" Target="persons/person.xml"/><Relationship Id="rId10" Type="http://schemas.openxmlformats.org/officeDocument/2006/relationships/pivotCacheDefinition" Target="pivotCache/pivotCacheDefinition2.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2"/>
          <c:order val="2"/>
          <c:tx>
            <c:strRef>
              <c:f>Problem.1!$N$7</c:f>
              <c:strCache>
                <c:ptCount val="1"/>
                <c:pt idx="0">
                  <c:v>Rural+Urban%</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752-40E3-971F-751C9C0F7138}"/>
              </c:ext>
            </c:extLst>
          </c:dPt>
          <c:dPt>
            <c:idx val="1"/>
            <c:bubble3D val="0"/>
            <c:spPr>
              <a:solidFill>
                <a:schemeClr val="accent3"/>
              </a:solidFill>
              <a:ln w="19050">
                <a:solidFill>
                  <a:schemeClr val="lt1"/>
                </a:solidFill>
              </a:ln>
              <a:effectLst/>
            </c:spPr>
            <c:extLst>
              <c:ext xmlns:c16="http://schemas.microsoft.com/office/drawing/2014/chart" uri="{C3380CC4-5D6E-409C-BE32-E72D297353CC}">
                <c16:uniqueId val="{00000003-9752-40E3-971F-751C9C0F7138}"/>
              </c:ext>
            </c:extLst>
          </c:dPt>
          <c:dPt>
            <c:idx val="2"/>
            <c:bubble3D val="0"/>
            <c:spPr>
              <a:solidFill>
                <a:schemeClr val="accent5"/>
              </a:solidFill>
              <a:ln w="19050">
                <a:solidFill>
                  <a:schemeClr val="lt1"/>
                </a:solidFill>
              </a:ln>
              <a:effectLst/>
            </c:spPr>
            <c:extLst>
              <c:ext xmlns:c16="http://schemas.microsoft.com/office/drawing/2014/chart" uri="{C3380CC4-5D6E-409C-BE32-E72D297353CC}">
                <c16:uniqueId val="{00000005-9752-40E3-971F-751C9C0F7138}"/>
              </c:ext>
            </c:extLst>
          </c:dPt>
          <c:dPt>
            <c:idx val="3"/>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7-9752-40E3-971F-751C9C0F7138}"/>
              </c:ext>
            </c:extLst>
          </c:dPt>
          <c:dPt>
            <c:idx val="4"/>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09-9752-40E3-971F-751C9C0F7138}"/>
              </c:ext>
            </c:extLst>
          </c:dPt>
          <c:dPt>
            <c:idx val="5"/>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0B-9752-40E3-971F-751C9C0F7138}"/>
              </c:ext>
            </c:extLst>
          </c:dPt>
          <c:dPt>
            <c:idx val="6"/>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0D-9752-40E3-971F-751C9C0F7138}"/>
              </c:ext>
            </c:extLst>
          </c:dPt>
          <c:dPt>
            <c:idx val="7"/>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0F-9752-40E3-971F-751C9C0F7138}"/>
              </c:ext>
            </c:extLst>
          </c:dPt>
          <c:dPt>
            <c:idx val="8"/>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11-9752-40E3-971F-751C9C0F7138}"/>
              </c:ext>
            </c:extLst>
          </c:dPt>
          <c:dPt>
            <c:idx val="9"/>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013-9752-40E3-971F-751C9C0F7138}"/>
              </c:ext>
            </c:extLst>
          </c:dPt>
          <c:dPt>
            <c:idx val="10"/>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015-9752-40E3-971F-751C9C0F713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Problem.1!$H$8:$H$18</c:f>
              <c:strCache>
                <c:ptCount val="11"/>
                <c:pt idx="0">
                  <c:v>Food</c:v>
                </c:pt>
                <c:pt idx="1">
                  <c:v>Luxury</c:v>
                </c:pt>
                <c:pt idx="2">
                  <c:v>Apparel</c:v>
                </c:pt>
                <c:pt idx="3">
                  <c:v>Housing</c:v>
                </c:pt>
                <c:pt idx="4">
                  <c:v>Fuel and light</c:v>
                </c:pt>
                <c:pt idx="5">
                  <c:v>Health</c:v>
                </c:pt>
                <c:pt idx="6">
                  <c:v>Transport</c:v>
                </c:pt>
                <c:pt idx="7">
                  <c:v>Recreation and amusement</c:v>
                </c:pt>
                <c:pt idx="8">
                  <c:v>Education</c:v>
                </c:pt>
                <c:pt idx="9">
                  <c:v>Personal care and effects</c:v>
                </c:pt>
                <c:pt idx="10">
                  <c:v>Misc</c:v>
                </c:pt>
              </c:strCache>
            </c:strRef>
          </c:cat>
          <c:val>
            <c:numRef>
              <c:f>Problem.1!$N$8:$N$18</c:f>
              <c:numCache>
                <c:formatCode>0.0%</c:formatCode>
                <c:ptCount val="11"/>
                <c:pt idx="0">
                  <c:v>0.45838346510828459</c:v>
                </c:pt>
                <c:pt idx="1">
                  <c:v>8.0440013750429681E-2</c:v>
                </c:pt>
                <c:pt idx="2">
                  <c:v>0.11885527672739772</c:v>
                </c:pt>
                <c:pt idx="3">
                  <c:v>7.5369542798212424E-2</c:v>
                </c:pt>
                <c:pt idx="4">
                  <c:v>3.9274664833276039E-2</c:v>
                </c:pt>
                <c:pt idx="5">
                  <c:v>3.9897731179099338E-2</c:v>
                </c:pt>
                <c:pt idx="6">
                  <c:v>3.5407356479889997E-2</c:v>
                </c:pt>
                <c:pt idx="7">
                  <c:v>3.6782399449982808E-2</c:v>
                </c:pt>
                <c:pt idx="8">
                  <c:v>3.8050017188037119E-2</c:v>
                </c:pt>
                <c:pt idx="9">
                  <c:v>3.9790305947060838E-2</c:v>
                </c:pt>
                <c:pt idx="10">
                  <c:v>3.7749226538329315E-2</c:v>
                </c:pt>
              </c:numCache>
            </c:numRef>
          </c:val>
          <c:extLst>
            <c:ext xmlns:c16="http://schemas.microsoft.com/office/drawing/2014/chart" uri="{C3380CC4-5D6E-409C-BE32-E72D297353CC}">
              <c16:uniqueId val="{00000002-D291-4DCF-A3B9-4C68DD669ADA}"/>
            </c:ext>
          </c:extLst>
        </c:ser>
        <c:dLbls>
          <c:dLblPos val="bestFit"/>
          <c:showLegendKey val="0"/>
          <c:showVal val="1"/>
          <c:showCatName val="0"/>
          <c:showSerName val="0"/>
          <c:showPercent val="0"/>
          <c:showBubbleSize val="0"/>
          <c:showLeaderLines val="1"/>
        </c:dLbls>
        <c:firstSliceAng val="0"/>
        <c:extLst>
          <c:ext xmlns:c15="http://schemas.microsoft.com/office/drawing/2012/chart" uri="{02D57815-91ED-43cb-92C2-25804820EDAC}">
            <c15:filteredPieSeries>
              <c15:ser>
                <c:idx val="0"/>
                <c:order val="0"/>
                <c:tx>
                  <c:strRef>
                    <c:extLst>
                      <c:ext uri="{02D57815-91ED-43cb-92C2-25804820EDAC}">
                        <c15:formulaRef>
                          <c15:sqref>Problem.1!$L$7</c15:sqref>
                        </c15:formulaRef>
                      </c:ext>
                    </c:extLst>
                    <c:strCache>
                      <c:ptCount val="1"/>
                      <c:pt idx="0">
                        <c:v>Rural%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17-9752-40E3-971F-751C9C0F7138}"/>
                    </c:ext>
                  </c:extLst>
                </c:dPt>
                <c:dPt>
                  <c:idx val="1"/>
                  <c:bubble3D val="0"/>
                  <c:spPr>
                    <a:solidFill>
                      <a:schemeClr val="accent3"/>
                    </a:solidFill>
                    <a:ln w="19050">
                      <a:solidFill>
                        <a:schemeClr val="lt1"/>
                      </a:solidFill>
                    </a:ln>
                    <a:effectLst/>
                  </c:spPr>
                  <c:extLst>
                    <c:ext xmlns:c16="http://schemas.microsoft.com/office/drawing/2014/chart" uri="{C3380CC4-5D6E-409C-BE32-E72D297353CC}">
                      <c16:uniqueId val="{00000019-9752-40E3-971F-751C9C0F7138}"/>
                    </c:ext>
                  </c:extLst>
                </c:dPt>
                <c:dPt>
                  <c:idx val="2"/>
                  <c:bubble3D val="0"/>
                  <c:spPr>
                    <a:solidFill>
                      <a:schemeClr val="accent5"/>
                    </a:solidFill>
                    <a:ln w="19050">
                      <a:solidFill>
                        <a:schemeClr val="lt1"/>
                      </a:solidFill>
                    </a:ln>
                    <a:effectLst/>
                  </c:spPr>
                  <c:extLst>
                    <c:ext xmlns:c16="http://schemas.microsoft.com/office/drawing/2014/chart" uri="{C3380CC4-5D6E-409C-BE32-E72D297353CC}">
                      <c16:uniqueId val="{0000001B-9752-40E3-971F-751C9C0F7138}"/>
                    </c:ext>
                  </c:extLst>
                </c:dPt>
                <c:dPt>
                  <c:idx val="3"/>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1D-9752-40E3-971F-751C9C0F7138}"/>
                    </c:ext>
                  </c:extLst>
                </c:dPt>
                <c:dPt>
                  <c:idx val="4"/>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F-9752-40E3-971F-751C9C0F7138}"/>
                    </c:ext>
                  </c:extLst>
                </c:dPt>
                <c:dPt>
                  <c:idx val="5"/>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21-9752-40E3-971F-751C9C0F7138}"/>
                    </c:ext>
                  </c:extLst>
                </c:dPt>
                <c:dPt>
                  <c:idx val="6"/>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23-9752-40E3-971F-751C9C0F7138}"/>
                    </c:ext>
                  </c:extLst>
                </c:dPt>
                <c:dPt>
                  <c:idx val="7"/>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25-9752-40E3-971F-751C9C0F7138}"/>
                    </c:ext>
                  </c:extLst>
                </c:dPt>
                <c:dPt>
                  <c:idx val="8"/>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27-9752-40E3-971F-751C9C0F7138}"/>
                    </c:ext>
                  </c:extLst>
                </c:dPt>
                <c:dPt>
                  <c:idx val="9"/>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029-9752-40E3-971F-751C9C0F7138}"/>
                    </c:ext>
                  </c:extLst>
                </c:dPt>
                <c:dPt>
                  <c:idx val="10"/>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02B-9752-40E3-971F-751C9C0F713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uri="{CE6537A1-D6FC-4f65-9D91-7224C49458BB}"/>
                  </c:extLst>
                </c:dLbls>
                <c:cat>
                  <c:strRef>
                    <c:extLst>
                      <c:ext uri="{02D57815-91ED-43cb-92C2-25804820EDAC}">
                        <c15:formulaRef>
                          <c15:sqref>Problem.1!$H$8:$H$18</c15:sqref>
                        </c15:formulaRef>
                      </c:ext>
                    </c:extLst>
                    <c:strCache>
                      <c:ptCount val="11"/>
                      <c:pt idx="0">
                        <c:v>Food</c:v>
                      </c:pt>
                      <c:pt idx="1">
                        <c:v>Luxury</c:v>
                      </c:pt>
                      <c:pt idx="2">
                        <c:v>Apparel</c:v>
                      </c:pt>
                      <c:pt idx="3">
                        <c:v>Housing</c:v>
                      </c:pt>
                      <c:pt idx="4">
                        <c:v>Fuel and light</c:v>
                      </c:pt>
                      <c:pt idx="5">
                        <c:v>Health</c:v>
                      </c:pt>
                      <c:pt idx="6">
                        <c:v>Transport</c:v>
                      </c:pt>
                      <c:pt idx="7">
                        <c:v>Recreation and amusement</c:v>
                      </c:pt>
                      <c:pt idx="8">
                        <c:v>Education</c:v>
                      </c:pt>
                      <c:pt idx="9">
                        <c:v>Personal care and effects</c:v>
                      </c:pt>
                      <c:pt idx="10">
                        <c:v>Misc</c:v>
                      </c:pt>
                    </c:strCache>
                  </c:strRef>
                </c:cat>
                <c:val>
                  <c:numRef>
                    <c:extLst>
                      <c:ext uri="{02D57815-91ED-43cb-92C2-25804820EDAC}">
                        <c15:formulaRef>
                          <c15:sqref>Problem.1!$L$8:$L$18</c15:sqref>
                        </c15:formulaRef>
                      </c:ext>
                    </c:extLst>
                    <c:numCache>
                      <c:formatCode>0.0%</c:formatCode>
                      <c:ptCount val="11"/>
                      <c:pt idx="0">
                        <c:v>0.46945852227260609</c:v>
                      </c:pt>
                      <c:pt idx="1">
                        <c:v>8.4155774873299546E-2</c:v>
                      </c:pt>
                      <c:pt idx="2">
                        <c:v>0.12667822530452566</c:v>
                      </c:pt>
                      <c:pt idx="3">
                        <c:v>3.9966213212412199E-2</c:v>
                      </c:pt>
                      <c:pt idx="4">
                        <c:v>4.0566373255090243E-2</c:v>
                      </c:pt>
                      <c:pt idx="5">
                        <c:v>4.1744465190717527E-2</c:v>
                      </c:pt>
                      <c:pt idx="6">
                        <c:v>3.772117008980172E-2</c:v>
                      </c:pt>
                      <c:pt idx="7">
                        <c:v>3.8632524228683206E-2</c:v>
                      </c:pt>
                      <c:pt idx="8">
                        <c:v>4.0077353961056279E-2</c:v>
                      </c:pt>
                      <c:pt idx="9">
                        <c:v>4.1099848848581845E-2</c:v>
                      </c:pt>
                      <c:pt idx="10">
                        <c:v>3.989952876322575E-2</c:v>
                      </c:pt>
                    </c:numCache>
                  </c:numRef>
                </c:val>
                <c:extLst>
                  <c:ext xmlns:c16="http://schemas.microsoft.com/office/drawing/2014/chart" uri="{C3380CC4-5D6E-409C-BE32-E72D297353CC}">
                    <c16:uniqueId val="{00000000-D291-4DCF-A3B9-4C68DD669ADA}"/>
                  </c:ext>
                </c:extLst>
              </c15:ser>
            </c15:filteredPieSeries>
            <c15:filteredPieSeries>
              <c15:ser>
                <c:idx val="1"/>
                <c:order val="1"/>
                <c:tx>
                  <c:strRef>
                    <c:extLst xmlns:c15="http://schemas.microsoft.com/office/drawing/2012/chart">
                      <c:ext xmlns:c15="http://schemas.microsoft.com/office/drawing/2012/chart" uri="{02D57815-91ED-43cb-92C2-25804820EDAC}">
                        <c15:formulaRef>
                          <c15:sqref>Problem.1!$M$7</c15:sqref>
                        </c15:formulaRef>
                      </c:ext>
                    </c:extLst>
                    <c:strCache>
                      <c:ptCount val="1"/>
                      <c:pt idx="0">
                        <c:v>Urban%</c:v>
                      </c:pt>
                    </c:strCache>
                  </c:strRef>
                </c:tx>
                <c:dPt>
                  <c:idx val="0"/>
                  <c:bubble3D val="0"/>
                  <c:spPr>
                    <a:solidFill>
                      <a:schemeClr val="accent1"/>
                    </a:solidFill>
                    <a:ln w="19050">
                      <a:solidFill>
                        <a:schemeClr val="lt1"/>
                      </a:solidFill>
                    </a:ln>
                    <a:effectLst/>
                  </c:spPr>
                  <c:extLst xmlns:c15="http://schemas.microsoft.com/office/drawing/2012/chart">
                    <c:ext xmlns:c16="http://schemas.microsoft.com/office/drawing/2014/chart" uri="{C3380CC4-5D6E-409C-BE32-E72D297353CC}">
                      <c16:uniqueId val="{0000002D-9752-40E3-971F-751C9C0F7138}"/>
                    </c:ext>
                  </c:extLst>
                </c:dPt>
                <c:dPt>
                  <c:idx val="1"/>
                  <c:bubble3D val="0"/>
                  <c:spPr>
                    <a:solidFill>
                      <a:schemeClr val="accent3"/>
                    </a:solidFill>
                    <a:ln w="19050">
                      <a:solidFill>
                        <a:schemeClr val="lt1"/>
                      </a:solidFill>
                    </a:ln>
                    <a:effectLst/>
                  </c:spPr>
                  <c:extLst xmlns:c15="http://schemas.microsoft.com/office/drawing/2012/chart">
                    <c:ext xmlns:c16="http://schemas.microsoft.com/office/drawing/2014/chart" uri="{C3380CC4-5D6E-409C-BE32-E72D297353CC}">
                      <c16:uniqueId val="{0000002F-9752-40E3-971F-751C9C0F7138}"/>
                    </c:ext>
                  </c:extLst>
                </c:dPt>
                <c:dPt>
                  <c:idx val="2"/>
                  <c:bubble3D val="0"/>
                  <c:spPr>
                    <a:solidFill>
                      <a:schemeClr val="accent5"/>
                    </a:solidFill>
                    <a:ln w="19050">
                      <a:solidFill>
                        <a:schemeClr val="lt1"/>
                      </a:solidFill>
                    </a:ln>
                    <a:effectLst/>
                  </c:spPr>
                  <c:extLst xmlns:c15="http://schemas.microsoft.com/office/drawing/2012/chart">
                    <c:ext xmlns:c16="http://schemas.microsoft.com/office/drawing/2014/chart" uri="{C3380CC4-5D6E-409C-BE32-E72D297353CC}">
                      <c16:uniqueId val="{00000031-9752-40E3-971F-751C9C0F7138}"/>
                    </c:ext>
                  </c:extLst>
                </c:dPt>
                <c:dPt>
                  <c:idx val="3"/>
                  <c:bubble3D val="0"/>
                  <c:spPr>
                    <a:solidFill>
                      <a:schemeClr val="accent1">
                        <a:lumMod val="60000"/>
                      </a:schemeClr>
                    </a:solidFill>
                    <a:ln w="19050">
                      <a:solidFill>
                        <a:schemeClr val="lt1"/>
                      </a:solidFill>
                    </a:ln>
                    <a:effectLst/>
                  </c:spPr>
                  <c:extLst xmlns:c15="http://schemas.microsoft.com/office/drawing/2012/chart">
                    <c:ext xmlns:c16="http://schemas.microsoft.com/office/drawing/2014/chart" uri="{C3380CC4-5D6E-409C-BE32-E72D297353CC}">
                      <c16:uniqueId val="{00000033-9752-40E3-971F-751C9C0F7138}"/>
                    </c:ext>
                  </c:extLst>
                </c:dPt>
                <c:dPt>
                  <c:idx val="4"/>
                  <c:bubble3D val="0"/>
                  <c:spPr>
                    <a:solidFill>
                      <a:schemeClr val="accent3">
                        <a:lumMod val="60000"/>
                      </a:schemeClr>
                    </a:solidFill>
                    <a:ln w="19050">
                      <a:solidFill>
                        <a:schemeClr val="lt1"/>
                      </a:solidFill>
                    </a:ln>
                    <a:effectLst/>
                  </c:spPr>
                  <c:extLst xmlns:c15="http://schemas.microsoft.com/office/drawing/2012/chart">
                    <c:ext xmlns:c16="http://schemas.microsoft.com/office/drawing/2014/chart" uri="{C3380CC4-5D6E-409C-BE32-E72D297353CC}">
                      <c16:uniqueId val="{00000035-9752-40E3-971F-751C9C0F7138}"/>
                    </c:ext>
                  </c:extLst>
                </c:dPt>
                <c:dPt>
                  <c:idx val="5"/>
                  <c:bubble3D val="0"/>
                  <c:spPr>
                    <a:solidFill>
                      <a:schemeClr val="accent5">
                        <a:lumMod val="60000"/>
                      </a:schemeClr>
                    </a:solidFill>
                    <a:ln w="19050">
                      <a:solidFill>
                        <a:schemeClr val="lt1"/>
                      </a:solidFill>
                    </a:ln>
                    <a:effectLst/>
                  </c:spPr>
                  <c:extLst xmlns:c15="http://schemas.microsoft.com/office/drawing/2012/chart">
                    <c:ext xmlns:c16="http://schemas.microsoft.com/office/drawing/2014/chart" uri="{C3380CC4-5D6E-409C-BE32-E72D297353CC}">
                      <c16:uniqueId val="{00000037-9752-40E3-971F-751C9C0F7138}"/>
                    </c:ext>
                  </c:extLst>
                </c:dPt>
                <c:dPt>
                  <c:idx val="6"/>
                  <c:bubble3D val="0"/>
                  <c:spPr>
                    <a:solidFill>
                      <a:schemeClr val="accent1">
                        <a:lumMod val="80000"/>
                        <a:lumOff val="20000"/>
                      </a:schemeClr>
                    </a:solidFill>
                    <a:ln w="19050">
                      <a:solidFill>
                        <a:schemeClr val="lt1"/>
                      </a:solidFill>
                    </a:ln>
                    <a:effectLst/>
                  </c:spPr>
                  <c:extLst xmlns:c15="http://schemas.microsoft.com/office/drawing/2012/chart">
                    <c:ext xmlns:c16="http://schemas.microsoft.com/office/drawing/2014/chart" uri="{C3380CC4-5D6E-409C-BE32-E72D297353CC}">
                      <c16:uniqueId val="{00000039-9752-40E3-971F-751C9C0F7138}"/>
                    </c:ext>
                  </c:extLst>
                </c:dPt>
                <c:dPt>
                  <c:idx val="7"/>
                  <c:bubble3D val="0"/>
                  <c:spPr>
                    <a:solidFill>
                      <a:schemeClr val="accent3">
                        <a:lumMod val="80000"/>
                        <a:lumOff val="20000"/>
                      </a:schemeClr>
                    </a:solidFill>
                    <a:ln w="19050">
                      <a:solidFill>
                        <a:schemeClr val="lt1"/>
                      </a:solidFill>
                    </a:ln>
                    <a:effectLst/>
                  </c:spPr>
                  <c:extLst xmlns:c15="http://schemas.microsoft.com/office/drawing/2012/chart">
                    <c:ext xmlns:c16="http://schemas.microsoft.com/office/drawing/2014/chart" uri="{C3380CC4-5D6E-409C-BE32-E72D297353CC}">
                      <c16:uniqueId val="{0000003B-9752-40E3-971F-751C9C0F7138}"/>
                    </c:ext>
                  </c:extLst>
                </c:dPt>
                <c:dPt>
                  <c:idx val="8"/>
                  <c:bubble3D val="0"/>
                  <c:spPr>
                    <a:solidFill>
                      <a:schemeClr val="accent5">
                        <a:lumMod val="80000"/>
                        <a:lumOff val="20000"/>
                      </a:schemeClr>
                    </a:solidFill>
                    <a:ln w="19050">
                      <a:solidFill>
                        <a:schemeClr val="lt1"/>
                      </a:solidFill>
                    </a:ln>
                    <a:effectLst/>
                  </c:spPr>
                  <c:extLst xmlns:c15="http://schemas.microsoft.com/office/drawing/2012/chart">
                    <c:ext xmlns:c16="http://schemas.microsoft.com/office/drawing/2014/chart" uri="{C3380CC4-5D6E-409C-BE32-E72D297353CC}">
                      <c16:uniqueId val="{0000003D-9752-40E3-971F-751C9C0F7138}"/>
                    </c:ext>
                  </c:extLst>
                </c:dPt>
                <c:dPt>
                  <c:idx val="9"/>
                  <c:bubble3D val="0"/>
                  <c:spPr>
                    <a:solidFill>
                      <a:schemeClr val="accent1">
                        <a:lumMod val="80000"/>
                      </a:schemeClr>
                    </a:solidFill>
                    <a:ln w="19050">
                      <a:solidFill>
                        <a:schemeClr val="lt1"/>
                      </a:solidFill>
                    </a:ln>
                    <a:effectLst/>
                  </c:spPr>
                  <c:extLst xmlns:c15="http://schemas.microsoft.com/office/drawing/2012/chart">
                    <c:ext xmlns:c16="http://schemas.microsoft.com/office/drawing/2014/chart" uri="{C3380CC4-5D6E-409C-BE32-E72D297353CC}">
                      <c16:uniqueId val="{0000003F-9752-40E3-971F-751C9C0F7138}"/>
                    </c:ext>
                  </c:extLst>
                </c:dPt>
                <c:dPt>
                  <c:idx val="10"/>
                  <c:bubble3D val="0"/>
                  <c:spPr>
                    <a:solidFill>
                      <a:schemeClr val="accent3">
                        <a:lumMod val="80000"/>
                      </a:schemeClr>
                    </a:solidFill>
                    <a:ln w="19050">
                      <a:solidFill>
                        <a:schemeClr val="lt1"/>
                      </a:solidFill>
                    </a:ln>
                    <a:effectLst/>
                  </c:spPr>
                  <c:extLst xmlns:c15="http://schemas.microsoft.com/office/drawing/2012/chart">
                    <c:ext xmlns:c16="http://schemas.microsoft.com/office/drawing/2014/chart" uri="{C3380CC4-5D6E-409C-BE32-E72D297353CC}">
                      <c16:uniqueId val="{00000041-9752-40E3-971F-751C9C0F713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xmlns:c15="http://schemas.microsoft.com/office/drawing/2012/chart">
                      <c:ext xmlns:c15="http://schemas.microsoft.com/office/drawing/2012/chart" uri="{02D57815-91ED-43cb-92C2-25804820EDAC}">
                        <c15:formulaRef>
                          <c15:sqref>Problem.1!$H$8:$H$18</c15:sqref>
                        </c15:formulaRef>
                      </c:ext>
                    </c:extLst>
                    <c:strCache>
                      <c:ptCount val="11"/>
                      <c:pt idx="0">
                        <c:v>Food</c:v>
                      </c:pt>
                      <c:pt idx="1">
                        <c:v>Luxury</c:v>
                      </c:pt>
                      <c:pt idx="2">
                        <c:v>Apparel</c:v>
                      </c:pt>
                      <c:pt idx="3">
                        <c:v>Housing</c:v>
                      </c:pt>
                      <c:pt idx="4">
                        <c:v>Fuel and light</c:v>
                      </c:pt>
                      <c:pt idx="5">
                        <c:v>Health</c:v>
                      </c:pt>
                      <c:pt idx="6">
                        <c:v>Transport</c:v>
                      </c:pt>
                      <c:pt idx="7">
                        <c:v>Recreation and amusement</c:v>
                      </c:pt>
                      <c:pt idx="8">
                        <c:v>Education</c:v>
                      </c:pt>
                      <c:pt idx="9">
                        <c:v>Personal care and effects</c:v>
                      </c:pt>
                      <c:pt idx="10">
                        <c:v>Misc</c:v>
                      </c:pt>
                    </c:strCache>
                  </c:strRef>
                </c:cat>
                <c:val>
                  <c:numRef>
                    <c:extLst xmlns:c15="http://schemas.microsoft.com/office/drawing/2012/chart">
                      <c:ext xmlns:c15="http://schemas.microsoft.com/office/drawing/2012/chart" uri="{02D57815-91ED-43cb-92C2-25804820EDAC}">
                        <c15:formulaRef>
                          <c15:sqref>Problem.1!$M$8:$M$18</c15:sqref>
                        </c15:formulaRef>
                      </c:ext>
                    </c:extLst>
                    <c:numCache>
                      <c:formatCode>0.0%</c:formatCode>
                      <c:ptCount val="11"/>
                      <c:pt idx="0">
                        <c:v>0.46740933870585449</c:v>
                      </c:pt>
                      <c:pt idx="1">
                        <c:v>7.9747462776616596E-2</c:v>
                      </c:pt>
                      <c:pt idx="2">
                        <c:v>0.11392186860307267</c:v>
                      </c:pt>
                      <c:pt idx="3">
                        <c:v>7.4489861880238734E-2</c:v>
                      </c:pt>
                      <c:pt idx="4">
                        <c:v>3.9518196901463076E-2</c:v>
                      </c:pt>
                      <c:pt idx="5">
                        <c:v>3.9259626365575638E-2</c:v>
                      </c:pt>
                      <c:pt idx="6">
                        <c:v>3.4562261630287229E-2</c:v>
                      </c:pt>
                      <c:pt idx="7">
                        <c:v>3.6458445560128415E-2</c:v>
                      </c:pt>
                      <c:pt idx="8">
                        <c:v>3.7665108060936453E-2</c:v>
                      </c:pt>
                      <c:pt idx="9">
                        <c:v>3.9992242883923369E-2</c:v>
                      </c:pt>
                      <c:pt idx="10">
                        <c:v>3.6975586631903291E-2</c:v>
                      </c:pt>
                    </c:numCache>
                  </c:numRef>
                </c:val>
                <c:extLst xmlns:c15="http://schemas.microsoft.com/office/drawing/2012/chart">
                  <c:ext xmlns:c16="http://schemas.microsoft.com/office/drawing/2014/chart" uri="{C3380CC4-5D6E-409C-BE32-E72D297353CC}">
                    <c16:uniqueId val="{00000001-D291-4DCF-A3B9-4C68DD669ADA}"/>
                  </c:ext>
                </c:extLst>
              </c15:ser>
            </c15:filteredPieSeries>
          </c:ext>
        </c:extLst>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Problem.2!$G$75</c:f>
              <c:strCache>
                <c:ptCount val="1"/>
                <c:pt idx="0">
                  <c:v>Inflation Rate (YoY%)</c:v>
                </c:pt>
              </c:strCache>
            </c:strRef>
          </c:tx>
          <c:spPr>
            <a:ln w="28575" cap="rnd">
              <a:solidFill>
                <a:schemeClr val="accent1"/>
              </a:solidFill>
              <a:round/>
            </a:ln>
            <a:effectLst/>
          </c:spPr>
          <c:marker>
            <c:symbol val="none"/>
          </c:marker>
          <c:cat>
            <c:numRef>
              <c:f>Problem.2!$F$76:$F$81</c:f>
              <c:numCache>
                <c:formatCode>General</c:formatCode>
                <c:ptCount val="6"/>
                <c:pt idx="0">
                  <c:v>2017</c:v>
                </c:pt>
                <c:pt idx="1">
                  <c:v>2018</c:v>
                </c:pt>
                <c:pt idx="2">
                  <c:v>2019</c:v>
                </c:pt>
                <c:pt idx="3">
                  <c:v>2020</c:v>
                </c:pt>
                <c:pt idx="4">
                  <c:v>2021</c:v>
                </c:pt>
                <c:pt idx="5">
                  <c:v>2022</c:v>
                </c:pt>
              </c:numCache>
            </c:numRef>
          </c:cat>
          <c:val>
            <c:numRef>
              <c:f>Problem.2!$G$76:$G$81</c:f>
              <c:numCache>
                <c:formatCode>0.00%</c:formatCode>
                <c:ptCount val="6"/>
                <c:pt idx="0">
                  <c:v>5.295471987720627E-2</c:v>
                </c:pt>
                <c:pt idx="1">
                  <c:v>2.3374726077428697E-2</c:v>
                </c:pt>
                <c:pt idx="2">
                  <c:v>7.7363896848137617E-2</c:v>
                </c:pt>
                <c:pt idx="3">
                  <c:v>5.7922769640479481E-2</c:v>
                </c:pt>
                <c:pt idx="4">
                  <c:v>5.657978385251098E-2</c:v>
                </c:pt>
                <c:pt idx="5">
                  <c:v>6.0350030175015092E-2</c:v>
                </c:pt>
              </c:numCache>
            </c:numRef>
          </c:val>
          <c:smooth val="0"/>
          <c:extLst>
            <c:ext xmlns:c16="http://schemas.microsoft.com/office/drawing/2014/chart" uri="{C3380CC4-5D6E-409C-BE32-E72D297353CC}">
              <c16:uniqueId val="{00000000-2F7F-40FE-920C-505987C815C3}"/>
            </c:ext>
          </c:extLst>
        </c:ser>
        <c:dLbls>
          <c:showLegendKey val="0"/>
          <c:showVal val="0"/>
          <c:showCatName val="0"/>
          <c:showSerName val="0"/>
          <c:showPercent val="0"/>
          <c:showBubbleSize val="0"/>
        </c:dLbls>
        <c:smooth val="0"/>
        <c:axId val="1777174127"/>
        <c:axId val="1777179407"/>
      </c:lineChart>
      <c:catAx>
        <c:axId val="17771741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7179407"/>
        <c:crosses val="autoZero"/>
        <c:auto val="1"/>
        <c:lblAlgn val="ctr"/>
        <c:lblOffset val="100"/>
        <c:noMultiLvlLbl val="0"/>
      </c:catAx>
      <c:valAx>
        <c:axId val="1777179407"/>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7174127"/>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Problem.3!$Y$1</c:f>
              <c:strCache>
                <c:ptCount val="1"/>
                <c:pt idx="0">
                  <c:v>Rural</c:v>
                </c:pt>
              </c:strCache>
            </c:strRef>
          </c:tx>
          <c:spPr>
            <a:solidFill>
              <a:schemeClr val="accent1"/>
            </a:solidFill>
            <a:ln>
              <a:noFill/>
            </a:ln>
            <a:effectLst/>
          </c:spPr>
          <c:invertIfNegative val="0"/>
          <c:cat>
            <c:strRef>
              <c:f>Problem.3!$X$2:$X$13</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Problem.3!$Y$2:$Y$13</c:f>
              <c:numCache>
                <c:formatCode>0.00%</c:formatCode>
                <c:ptCount val="12"/>
                <c:pt idx="0">
                  <c:v>3.4403669724770315E-3</c:v>
                </c:pt>
                <c:pt idx="1">
                  <c:v>-1.1428571428570779E-3</c:v>
                </c:pt>
                <c:pt idx="2">
                  <c:v>0</c:v>
                </c:pt>
                <c:pt idx="3">
                  <c:v>4.0045766590388367E-3</c:v>
                </c:pt>
                <c:pt idx="4">
                  <c:v>7.4074074074074719E-3</c:v>
                </c:pt>
                <c:pt idx="5">
                  <c:v>9.3676814988290051E-3</c:v>
                </c:pt>
                <c:pt idx="6">
                  <c:v>5.80046403712264E-4</c:v>
                </c:pt>
                <c:pt idx="7">
                  <c:v>8.1159420289855407E-3</c:v>
                </c:pt>
                <c:pt idx="8">
                  <c:v>9.2006900517538487E-3</c:v>
                </c:pt>
                <c:pt idx="9">
                  <c:v>1.0826210826210859E-2</c:v>
                </c:pt>
                <c:pt idx="10">
                  <c:v>-4.5095828635851824E-3</c:v>
                </c:pt>
                <c:pt idx="11">
                  <c:v>-1.2457531143827796E-2</c:v>
                </c:pt>
              </c:numCache>
            </c:numRef>
          </c:val>
          <c:extLst>
            <c:ext xmlns:c16="http://schemas.microsoft.com/office/drawing/2014/chart" uri="{C3380CC4-5D6E-409C-BE32-E72D297353CC}">
              <c16:uniqueId val="{00000000-E66D-4B50-BC32-5E9E287EB3A8}"/>
            </c:ext>
          </c:extLst>
        </c:ser>
        <c:ser>
          <c:idx val="1"/>
          <c:order val="1"/>
          <c:tx>
            <c:strRef>
              <c:f>Problem.3!$Z$1</c:f>
              <c:strCache>
                <c:ptCount val="1"/>
                <c:pt idx="0">
                  <c:v>Urban</c:v>
                </c:pt>
              </c:strCache>
            </c:strRef>
          </c:tx>
          <c:spPr>
            <a:solidFill>
              <a:schemeClr val="accent2"/>
            </a:solidFill>
            <a:ln>
              <a:noFill/>
            </a:ln>
            <a:effectLst/>
          </c:spPr>
          <c:invertIfNegative val="0"/>
          <c:cat>
            <c:strRef>
              <c:f>Problem.3!$X$2:$X$13</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Problem.3!$Z$2:$Z$13</c:f>
              <c:numCache>
                <c:formatCode>0.00%</c:formatCode>
                <c:ptCount val="12"/>
                <c:pt idx="0">
                  <c:v>5.0391937290033915E-3</c:v>
                </c:pt>
                <c:pt idx="1">
                  <c:v>6.6852367688021649E-3</c:v>
                </c:pt>
                <c:pt idx="2">
                  <c:v>5.5340343110139867E-4</c:v>
                </c:pt>
                <c:pt idx="3">
                  <c:v>7.1902654867255691E-3</c:v>
                </c:pt>
                <c:pt idx="4">
                  <c:v>5.4914881933003845E-3</c:v>
                </c:pt>
                <c:pt idx="5">
                  <c:v>1.0140845070422599E-2</c:v>
                </c:pt>
                <c:pt idx="6">
                  <c:v>5.5772448410482047E-4</c:v>
                </c:pt>
                <c:pt idx="7">
                  <c:v>5.5741360089186171E-3</c:v>
                </c:pt>
                <c:pt idx="8">
                  <c:v>7.7605321507760849E-3</c:v>
                </c:pt>
                <c:pt idx="9">
                  <c:v>8.2508250825082501E-3</c:v>
                </c:pt>
                <c:pt idx="10">
                  <c:v>-1.0911074740861974E-2</c:v>
                </c:pt>
                <c:pt idx="11">
                  <c:v>-1.4892443463872128E-2</c:v>
                </c:pt>
              </c:numCache>
            </c:numRef>
          </c:val>
          <c:extLst>
            <c:ext xmlns:c16="http://schemas.microsoft.com/office/drawing/2014/chart" uri="{C3380CC4-5D6E-409C-BE32-E72D297353CC}">
              <c16:uniqueId val="{00000001-E66D-4B50-BC32-5E9E287EB3A8}"/>
            </c:ext>
          </c:extLst>
        </c:ser>
        <c:ser>
          <c:idx val="2"/>
          <c:order val="2"/>
          <c:tx>
            <c:strRef>
              <c:f>Problem.3!$AA$1</c:f>
              <c:strCache>
                <c:ptCount val="1"/>
                <c:pt idx="0">
                  <c:v>Rural + Urban</c:v>
                </c:pt>
              </c:strCache>
            </c:strRef>
          </c:tx>
          <c:spPr>
            <a:solidFill>
              <a:schemeClr val="accent3"/>
            </a:solidFill>
            <a:ln>
              <a:noFill/>
            </a:ln>
            <a:effectLst/>
          </c:spPr>
          <c:invertIfNegative val="0"/>
          <c:cat>
            <c:strRef>
              <c:f>Problem.3!$X$2:$X$13</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Problem.3!$AA$2:$AA$13</c:f>
              <c:numCache>
                <c:formatCode>0.00%</c:formatCode>
                <c:ptCount val="12"/>
                <c:pt idx="0">
                  <c:v>4.5480386583284984E-3</c:v>
                </c:pt>
                <c:pt idx="1">
                  <c:v>1.6977928692700134E-3</c:v>
                </c:pt>
                <c:pt idx="2">
                  <c:v>0</c:v>
                </c:pt>
                <c:pt idx="3">
                  <c:v>5.0847457627118961E-3</c:v>
                </c:pt>
                <c:pt idx="4">
                  <c:v>6.7453625632377095E-3</c:v>
                </c:pt>
                <c:pt idx="5">
                  <c:v>9.2325447201384546E-3</c:v>
                </c:pt>
                <c:pt idx="6">
                  <c:v>5.7175528873638828E-4</c:v>
                </c:pt>
                <c:pt idx="7">
                  <c:v>7.4285714285714935E-3</c:v>
                </c:pt>
                <c:pt idx="8">
                  <c:v>8.5082246171298923E-3</c:v>
                </c:pt>
                <c:pt idx="9">
                  <c:v>1.0123734533183255E-2</c:v>
                </c:pt>
                <c:pt idx="10">
                  <c:v>-7.2383073496658295E-3</c:v>
                </c:pt>
                <c:pt idx="11">
                  <c:v>-1.3460459899046581E-2</c:v>
                </c:pt>
              </c:numCache>
            </c:numRef>
          </c:val>
          <c:extLst>
            <c:ext xmlns:c16="http://schemas.microsoft.com/office/drawing/2014/chart" uri="{C3380CC4-5D6E-409C-BE32-E72D297353CC}">
              <c16:uniqueId val="{00000002-E66D-4B50-BC32-5E9E287EB3A8}"/>
            </c:ext>
          </c:extLst>
        </c:ser>
        <c:dLbls>
          <c:showLegendKey val="0"/>
          <c:showVal val="0"/>
          <c:showCatName val="0"/>
          <c:showSerName val="0"/>
          <c:showPercent val="0"/>
          <c:showBubbleSize val="0"/>
        </c:dLbls>
        <c:gapWidth val="219"/>
        <c:overlap val="-27"/>
        <c:axId val="1776901008"/>
        <c:axId val="1776908208"/>
      </c:barChart>
      <c:catAx>
        <c:axId val="17769010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6908208"/>
        <c:crosses val="autoZero"/>
        <c:auto val="1"/>
        <c:lblAlgn val="ctr"/>
        <c:lblOffset val="100"/>
        <c:noMultiLvlLbl val="0"/>
      </c:catAx>
      <c:valAx>
        <c:axId val="1776908208"/>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690100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Problem.3!$Y$18</c:f>
              <c:strCache>
                <c:ptCount val="1"/>
                <c:pt idx="0">
                  <c:v>Rural</c:v>
                </c:pt>
              </c:strCache>
            </c:strRef>
          </c:tx>
          <c:spPr>
            <a:solidFill>
              <a:schemeClr val="accent1"/>
            </a:solidFill>
            <a:ln>
              <a:noFill/>
            </a:ln>
            <a:effectLst/>
          </c:spPr>
          <c:invertIfNegative val="0"/>
          <c:cat>
            <c:strRef>
              <c:f>Problem.3!$X$19:$X$31</c:f>
              <c:strCache>
                <c:ptCount val="12"/>
                <c:pt idx="0">
                  <c:v>Cereals and products</c:v>
                </c:pt>
                <c:pt idx="1">
                  <c:v>Meat and fish</c:v>
                </c:pt>
                <c:pt idx="2">
                  <c:v>Egg</c:v>
                </c:pt>
                <c:pt idx="3">
                  <c:v>Milk and products</c:v>
                </c:pt>
                <c:pt idx="4">
                  <c:v>Oils and fats</c:v>
                </c:pt>
                <c:pt idx="5">
                  <c:v>Fruits</c:v>
                </c:pt>
                <c:pt idx="6">
                  <c:v>Vegetables</c:v>
                </c:pt>
                <c:pt idx="7">
                  <c:v>Pulses and products</c:v>
                </c:pt>
                <c:pt idx="8">
                  <c:v>Sugar and Confectionery</c:v>
                </c:pt>
                <c:pt idx="9">
                  <c:v>Spices</c:v>
                </c:pt>
                <c:pt idx="10">
                  <c:v>Prepared meals, snacks, sweets etc.</c:v>
                </c:pt>
                <c:pt idx="11">
                  <c:v>Food and beverages</c:v>
                </c:pt>
              </c:strCache>
            </c:strRef>
          </c:cat>
          <c:val>
            <c:numRef>
              <c:f>Problem.3!$Y$19:$Y$31</c:f>
              <c:numCache>
                <c:formatCode>0.00%</c:formatCode>
                <c:ptCount val="13"/>
                <c:pt idx="0">
                  <c:v>0.12613784135240558</c:v>
                </c:pt>
                <c:pt idx="1">
                  <c:v>-2.6243093922651884E-2</c:v>
                </c:pt>
                <c:pt idx="2">
                  <c:v>8.2547169811321101E-3</c:v>
                </c:pt>
                <c:pt idx="3">
                  <c:v>8.5852478839177682E-2</c:v>
                </c:pt>
                <c:pt idx="4">
                  <c:v>-0.16722729456991822</c:v>
                </c:pt>
                <c:pt idx="5">
                  <c:v>1.9300361881785213E-2</c:v>
                </c:pt>
                <c:pt idx="6">
                  <c:v>-0.11117752540346695</c:v>
                </c:pt>
                <c:pt idx="7">
                  <c:v>6.2575941676792299E-2</c:v>
                </c:pt>
                <c:pt idx="8">
                  <c:v>2.350965575146945E-2</c:v>
                </c:pt>
                <c:pt idx="9">
                  <c:v>0.16993118051879297</c:v>
                </c:pt>
                <c:pt idx="10">
                  <c:v>5.0577240241891086E-2</c:v>
                </c:pt>
                <c:pt idx="11">
                  <c:v>2.5522041763341101E-2</c:v>
                </c:pt>
              </c:numCache>
            </c:numRef>
          </c:val>
          <c:extLst>
            <c:ext xmlns:c16="http://schemas.microsoft.com/office/drawing/2014/chart" uri="{C3380CC4-5D6E-409C-BE32-E72D297353CC}">
              <c16:uniqueId val="{00000000-A6A9-4DBF-A06C-5DE246679121}"/>
            </c:ext>
          </c:extLst>
        </c:ser>
        <c:ser>
          <c:idx val="1"/>
          <c:order val="1"/>
          <c:tx>
            <c:strRef>
              <c:f>Problem.3!$Z$18</c:f>
              <c:strCache>
                <c:ptCount val="1"/>
                <c:pt idx="0">
                  <c:v>Urban</c:v>
                </c:pt>
              </c:strCache>
            </c:strRef>
          </c:tx>
          <c:spPr>
            <a:solidFill>
              <a:schemeClr val="accent2"/>
            </a:solidFill>
            <a:ln>
              <a:noFill/>
            </a:ln>
            <a:effectLst/>
          </c:spPr>
          <c:invertIfNegative val="0"/>
          <c:cat>
            <c:strRef>
              <c:f>Problem.3!$X$19:$X$31</c:f>
              <c:strCache>
                <c:ptCount val="12"/>
                <c:pt idx="0">
                  <c:v>Cereals and products</c:v>
                </c:pt>
                <c:pt idx="1">
                  <c:v>Meat and fish</c:v>
                </c:pt>
                <c:pt idx="2">
                  <c:v>Egg</c:v>
                </c:pt>
                <c:pt idx="3">
                  <c:v>Milk and products</c:v>
                </c:pt>
                <c:pt idx="4">
                  <c:v>Oils and fats</c:v>
                </c:pt>
                <c:pt idx="5">
                  <c:v>Fruits</c:v>
                </c:pt>
                <c:pt idx="6">
                  <c:v>Vegetables</c:v>
                </c:pt>
                <c:pt idx="7">
                  <c:v>Pulses and products</c:v>
                </c:pt>
                <c:pt idx="8">
                  <c:v>Sugar and Confectionery</c:v>
                </c:pt>
                <c:pt idx="9">
                  <c:v>Spices</c:v>
                </c:pt>
                <c:pt idx="10">
                  <c:v>Prepared meals, snacks, sweets etc.</c:v>
                </c:pt>
                <c:pt idx="11">
                  <c:v>Food and beverages</c:v>
                </c:pt>
              </c:strCache>
            </c:strRef>
          </c:cat>
          <c:val>
            <c:numRef>
              <c:f>Problem.3!$Z$19:$Z$31</c:f>
              <c:numCache>
                <c:formatCode>0.00%</c:formatCode>
                <c:ptCount val="13"/>
                <c:pt idx="0">
                  <c:v>0.10920634920634914</c:v>
                </c:pt>
                <c:pt idx="1">
                  <c:v>-1.7905102954341987E-2</c:v>
                </c:pt>
                <c:pt idx="2">
                  <c:v>2.2569444444444312E-2</c:v>
                </c:pt>
                <c:pt idx="3">
                  <c:v>7.8125E-2</c:v>
                </c:pt>
                <c:pt idx="4">
                  <c:v>-0.12831389183457045</c:v>
                </c:pt>
                <c:pt idx="5">
                  <c:v>9.7645031591040623E-3</c:v>
                </c:pt>
                <c:pt idx="6">
                  <c:v>-0.12529550827423167</c:v>
                </c:pt>
                <c:pt idx="7">
                  <c:v>8.1295843520782465E-2</c:v>
                </c:pt>
                <c:pt idx="8">
                  <c:v>2.3064250411861591E-2</c:v>
                </c:pt>
                <c:pt idx="9">
                  <c:v>0.15476839237057224</c:v>
                </c:pt>
                <c:pt idx="10">
                  <c:v>6.119162640901759E-2</c:v>
                </c:pt>
                <c:pt idx="11">
                  <c:v>2.1193530395984286E-2</c:v>
                </c:pt>
              </c:numCache>
            </c:numRef>
          </c:val>
          <c:extLst>
            <c:ext xmlns:c16="http://schemas.microsoft.com/office/drawing/2014/chart" uri="{C3380CC4-5D6E-409C-BE32-E72D297353CC}">
              <c16:uniqueId val="{00000001-A6A9-4DBF-A06C-5DE246679121}"/>
            </c:ext>
          </c:extLst>
        </c:ser>
        <c:ser>
          <c:idx val="2"/>
          <c:order val="2"/>
          <c:tx>
            <c:strRef>
              <c:f>Problem.3!$AA$18</c:f>
              <c:strCache>
                <c:ptCount val="1"/>
                <c:pt idx="0">
                  <c:v>Rural + Urban</c:v>
                </c:pt>
              </c:strCache>
            </c:strRef>
          </c:tx>
          <c:spPr>
            <a:solidFill>
              <a:schemeClr val="accent3"/>
            </a:solidFill>
            <a:ln>
              <a:noFill/>
            </a:ln>
            <a:effectLst/>
          </c:spPr>
          <c:invertIfNegative val="0"/>
          <c:cat>
            <c:strRef>
              <c:f>Problem.3!$X$19:$X$31</c:f>
              <c:strCache>
                <c:ptCount val="12"/>
                <c:pt idx="0">
                  <c:v>Cereals and products</c:v>
                </c:pt>
                <c:pt idx="1">
                  <c:v>Meat and fish</c:v>
                </c:pt>
                <c:pt idx="2">
                  <c:v>Egg</c:v>
                </c:pt>
                <c:pt idx="3">
                  <c:v>Milk and products</c:v>
                </c:pt>
                <c:pt idx="4">
                  <c:v>Oils and fats</c:v>
                </c:pt>
                <c:pt idx="5">
                  <c:v>Fruits</c:v>
                </c:pt>
                <c:pt idx="6">
                  <c:v>Vegetables</c:v>
                </c:pt>
                <c:pt idx="7">
                  <c:v>Pulses and products</c:v>
                </c:pt>
                <c:pt idx="8">
                  <c:v>Sugar and Confectionery</c:v>
                </c:pt>
                <c:pt idx="9">
                  <c:v>Spices</c:v>
                </c:pt>
                <c:pt idx="10">
                  <c:v>Prepared meals, snacks, sweets etc.</c:v>
                </c:pt>
                <c:pt idx="11">
                  <c:v>Food and beverages</c:v>
                </c:pt>
              </c:strCache>
            </c:strRef>
          </c:cat>
          <c:val>
            <c:numRef>
              <c:f>Problem.3!$AA$19:$AA$31</c:f>
              <c:numCache>
                <c:formatCode>0.00%</c:formatCode>
                <c:ptCount val="13"/>
                <c:pt idx="0">
                  <c:v>0.1206451612903225</c:v>
                </c:pt>
                <c:pt idx="1">
                  <c:v>-2.3245214220601614E-2</c:v>
                </c:pt>
                <c:pt idx="2">
                  <c:v>1.4051522248243426E-2</c:v>
                </c:pt>
                <c:pt idx="3">
                  <c:v>8.2629674306393175E-2</c:v>
                </c:pt>
                <c:pt idx="4">
                  <c:v>-0.15380786460925835</c:v>
                </c:pt>
                <c:pt idx="5">
                  <c:v>1.4731879787860933E-2</c:v>
                </c:pt>
                <c:pt idx="6">
                  <c:v>-0.11684037301151953</c:v>
                </c:pt>
                <c:pt idx="7">
                  <c:v>6.8776628119293873E-2</c:v>
                </c:pt>
                <c:pt idx="8">
                  <c:v>2.3352793994995805E-2</c:v>
                </c:pt>
                <c:pt idx="9">
                  <c:v>0.16515232495991453</c:v>
                </c:pt>
                <c:pt idx="10">
                  <c:v>5.6008700380641561E-2</c:v>
                </c:pt>
                <c:pt idx="11">
                  <c:v>2.4013722126929607E-2</c:v>
                </c:pt>
              </c:numCache>
            </c:numRef>
          </c:val>
          <c:extLst>
            <c:ext xmlns:c16="http://schemas.microsoft.com/office/drawing/2014/chart" uri="{C3380CC4-5D6E-409C-BE32-E72D297353CC}">
              <c16:uniqueId val="{00000002-A6A9-4DBF-A06C-5DE246679121}"/>
            </c:ext>
          </c:extLst>
        </c:ser>
        <c:dLbls>
          <c:showLegendKey val="0"/>
          <c:showVal val="0"/>
          <c:showCatName val="0"/>
          <c:showSerName val="0"/>
          <c:showPercent val="0"/>
          <c:showBubbleSize val="0"/>
        </c:dLbls>
        <c:gapWidth val="219"/>
        <c:overlap val="-27"/>
        <c:axId val="1798820512"/>
        <c:axId val="1798837312"/>
      </c:barChart>
      <c:catAx>
        <c:axId val="17988205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8837312"/>
        <c:crosses val="autoZero"/>
        <c:auto val="1"/>
        <c:lblAlgn val="ctr"/>
        <c:lblOffset val="100"/>
        <c:noMultiLvlLbl val="0"/>
      </c:catAx>
      <c:valAx>
        <c:axId val="1798837312"/>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882051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kern="1200" spc="0" baseline="0">
                <a:solidFill>
                  <a:sysClr val="windowText" lastClr="000000">
                    <a:lumMod val="65000"/>
                    <a:lumOff val="35000"/>
                  </a:sysClr>
                </a:solidFill>
              </a:rPr>
              <a:t>Rural: Inflation Pre and Post Covid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Problem.4!$N$4:$O$4</c:f>
              <c:strCache>
                <c:ptCount val="2"/>
                <c:pt idx="0">
                  <c:v>Rural</c:v>
                </c:pt>
                <c:pt idx="1">
                  <c:v> Food</c:v>
                </c:pt>
              </c:strCache>
            </c:strRef>
          </c:tx>
          <c:spPr>
            <a:solidFill>
              <a:schemeClr val="accent1"/>
            </a:solidFill>
            <a:ln>
              <a:noFill/>
            </a:ln>
            <a:effectLst/>
          </c:spPr>
          <c:invertIfNegative val="0"/>
          <c:cat>
            <c:strRef>
              <c:f>Problem.4!$P$3:$T$3</c:f>
              <c:strCache>
                <c:ptCount val="5"/>
                <c:pt idx="0">
                  <c:v>2018</c:v>
                </c:pt>
                <c:pt idx="1">
                  <c:v>2019</c:v>
                </c:pt>
                <c:pt idx="2">
                  <c:v>2020</c:v>
                </c:pt>
                <c:pt idx="3">
                  <c:v>2021</c:v>
                </c:pt>
                <c:pt idx="4">
                  <c:v>2022</c:v>
                </c:pt>
              </c:strCache>
            </c:strRef>
          </c:cat>
          <c:val>
            <c:numRef>
              <c:f>Problem.4!$P$4:$T$4</c:f>
              <c:numCache>
                <c:formatCode>0.00%</c:formatCode>
                <c:ptCount val="5"/>
                <c:pt idx="0">
                  <c:v>1.4925830105782037E-2</c:v>
                </c:pt>
                <c:pt idx="1">
                  <c:v>1.9084628906946385E-2</c:v>
                </c:pt>
                <c:pt idx="2">
                  <c:v>-2.0345462928577144E-2</c:v>
                </c:pt>
                <c:pt idx="3">
                  <c:v>0.17426447629503586</c:v>
                </c:pt>
                <c:pt idx="4">
                  <c:v>5.9514772546950666E-2</c:v>
                </c:pt>
              </c:numCache>
            </c:numRef>
          </c:val>
          <c:extLst>
            <c:ext xmlns:c16="http://schemas.microsoft.com/office/drawing/2014/chart" uri="{C3380CC4-5D6E-409C-BE32-E72D297353CC}">
              <c16:uniqueId val="{00000000-8CCF-4EB9-9889-69532157A195}"/>
            </c:ext>
          </c:extLst>
        </c:ser>
        <c:ser>
          <c:idx val="1"/>
          <c:order val="1"/>
          <c:tx>
            <c:strRef>
              <c:f>Problem.4!$N$5:$O$5</c:f>
              <c:strCache>
                <c:ptCount val="2"/>
                <c:pt idx="0">
                  <c:v>Rural</c:v>
                </c:pt>
                <c:pt idx="1">
                  <c:v> Health</c:v>
                </c:pt>
              </c:strCache>
            </c:strRef>
          </c:tx>
          <c:spPr>
            <a:solidFill>
              <a:schemeClr val="accent2"/>
            </a:solidFill>
            <a:ln>
              <a:noFill/>
            </a:ln>
            <a:effectLst/>
          </c:spPr>
          <c:invertIfNegative val="0"/>
          <c:cat>
            <c:strRef>
              <c:f>Problem.4!$P$3:$T$3</c:f>
              <c:strCache>
                <c:ptCount val="5"/>
                <c:pt idx="0">
                  <c:v>2018</c:v>
                </c:pt>
                <c:pt idx="1">
                  <c:v>2019</c:v>
                </c:pt>
                <c:pt idx="2">
                  <c:v>2020</c:v>
                </c:pt>
                <c:pt idx="3">
                  <c:v>2021</c:v>
                </c:pt>
                <c:pt idx="4">
                  <c:v>2022</c:v>
                </c:pt>
              </c:strCache>
            </c:strRef>
          </c:cat>
          <c:val>
            <c:numRef>
              <c:f>Problem.4!$P$5:$T$5</c:f>
              <c:numCache>
                <c:formatCode>0.00%</c:formatCode>
                <c:ptCount val="5"/>
                <c:pt idx="0">
                  <c:v>5.8279312732078814E-2</c:v>
                </c:pt>
                <c:pt idx="1">
                  <c:v>8.6043305490228122E-2</c:v>
                </c:pt>
                <c:pt idx="2">
                  <c:v>3.8649940262843067E-2</c:v>
                </c:pt>
                <c:pt idx="3">
                  <c:v>6.9611395487050073E-2</c:v>
                </c:pt>
                <c:pt idx="4">
                  <c:v>5.6930205047318605E-2</c:v>
                </c:pt>
              </c:numCache>
            </c:numRef>
          </c:val>
          <c:extLst>
            <c:ext xmlns:c16="http://schemas.microsoft.com/office/drawing/2014/chart" uri="{C3380CC4-5D6E-409C-BE32-E72D297353CC}">
              <c16:uniqueId val="{00000001-8CCF-4EB9-9889-69532157A195}"/>
            </c:ext>
          </c:extLst>
        </c:ser>
        <c:ser>
          <c:idx val="2"/>
          <c:order val="2"/>
          <c:tx>
            <c:strRef>
              <c:f>Problem.4!$N$6:$O$6</c:f>
              <c:strCache>
                <c:ptCount val="2"/>
                <c:pt idx="0">
                  <c:v>Rural</c:v>
                </c:pt>
                <c:pt idx="1">
                  <c:v> Essentital Services</c:v>
                </c:pt>
              </c:strCache>
            </c:strRef>
          </c:tx>
          <c:spPr>
            <a:solidFill>
              <a:schemeClr val="accent3"/>
            </a:solidFill>
            <a:ln>
              <a:noFill/>
            </a:ln>
            <a:effectLst/>
          </c:spPr>
          <c:invertIfNegative val="0"/>
          <c:cat>
            <c:strRef>
              <c:f>Problem.4!$P$3:$T$3</c:f>
              <c:strCache>
                <c:ptCount val="5"/>
                <c:pt idx="0">
                  <c:v>2018</c:v>
                </c:pt>
                <c:pt idx="1">
                  <c:v>2019</c:v>
                </c:pt>
                <c:pt idx="2">
                  <c:v>2020</c:v>
                </c:pt>
                <c:pt idx="3">
                  <c:v>2021</c:v>
                </c:pt>
                <c:pt idx="4">
                  <c:v>2022</c:v>
                </c:pt>
              </c:strCache>
            </c:strRef>
          </c:cat>
          <c:val>
            <c:numRef>
              <c:f>Problem.4!$P$6:$T$6</c:f>
              <c:numCache>
                <c:formatCode>0.00%</c:formatCode>
                <c:ptCount val="5"/>
                <c:pt idx="0">
                  <c:v>6.0640336820938764E-2</c:v>
                </c:pt>
                <c:pt idx="1">
                  <c:v>4.2935202665035595E-2</c:v>
                </c:pt>
                <c:pt idx="2">
                  <c:v>-0.12135202830066869</c:v>
                </c:pt>
                <c:pt idx="3">
                  <c:v>0.24376091032520866</c:v>
                </c:pt>
                <c:pt idx="4">
                  <c:v>6.9214674654641373E-2</c:v>
                </c:pt>
              </c:numCache>
            </c:numRef>
          </c:val>
          <c:extLst>
            <c:ext xmlns:c16="http://schemas.microsoft.com/office/drawing/2014/chart" uri="{C3380CC4-5D6E-409C-BE32-E72D297353CC}">
              <c16:uniqueId val="{00000002-8CCF-4EB9-9889-69532157A195}"/>
            </c:ext>
          </c:extLst>
        </c:ser>
        <c:dLbls>
          <c:showLegendKey val="0"/>
          <c:showVal val="0"/>
          <c:showCatName val="0"/>
          <c:showSerName val="0"/>
          <c:showPercent val="0"/>
          <c:showBubbleSize val="0"/>
        </c:dLbls>
        <c:gapWidth val="219"/>
        <c:overlap val="-27"/>
        <c:axId val="1032905328"/>
        <c:axId val="1032903408"/>
      </c:barChart>
      <c:catAx>
        <c:axId val="10329053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2903408"/>
        <c:crosses val="autoZero"/>
        <c:auto val="1"/>
        <c:lblAlgn val="ctr"/>
        <c:lblOffset val="100"/>
        <c:noMultiLvlLbl val="0"/>
      </c:catAx>
      <c:valAx>
        <c:axId val="1032903408"/>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290532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kern="1200" spc="0" baseline="0">
                <a:solidFill>
                  <a:sysClr val="windowText" lastClr="000000">
                    <a:lumMod val="65000"/>
                    <a:lumOff val="35000"/>
                  </a:sysClr>
                </a:solidFill>
              </a:rPr>
              <a:t>Rural+Urban: Inflation Pre and Post Covid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Problem.4!$N$7:$O$7</c:f>
              <c:strCache>
                <c:ptCount val="2"/>
                <c:pt idx="0">
                  <c:v>Rural+Urban</c:v>
                </c:pt>
                <c:pt idx="1">
                  <c:v> Food</c:v>
                </c:pt>
              </c:strCache>
            </c:strRef>
          </c:tx>
          <c:spPr>
            <a:solidFill>
              <a:schemeClr val="accent1"/>
            </a:solidFill>
            <a:ln>
              <a:noFill/>
            </a:ln>
            <a:effectLst/>
          </c:spPr>
          <c:invertIfNegative val="0"/>
          <c:cat>
            <c:strRef>
              <c:f>Problem.4!$P$3:$T$3</c:f>
              <c:strCache>
                <c:ptCount val="5"/>
                <c:pt idx="0">
                  <c:v>2018</c:v>
                </c:pt>
                <c:pt idx="1">
                  <c:v>2019</c:v>
                </c:pt>
                <c:pt idx="2">
                  <c:v>2020</c:v>
                </c:pt>
                <c:pt idx="3">
                  <c:v>2021</c:v>
                </c:pt>
                <c:pt idx="4">
                  <c:v>2022</c:v>
                </c:pt>
              </c:strCache>
            </c:strRef>
          </c:cat>
          <c:val>
            <c:numRef>
              <c:f>Problem.4!$P$7:$T$7</c:f>
              <c:numCache>
                <c:formatCode>0.00%</c:formatCode>
                <c:ptCount val="5"/>
                <c:pt idx="0">
                  <c:v>9.9840603553875956E-3</c:v>
                </c:pt>
                <c:pt idx="1">
                  <c:v>3.4342737223600164E-2</c:v>
                </c:pt>
                <c:pt idx="2">
                  <c:v>-1.8194614672368537E-2</c:v>
                </c:pt>
                <c:pt idx="3">
                  <c:v>0.17542150131422465</c:v>
                </c:pt>
                <c:pt idx="4">
                  <c:v>5.8791019585670061E-2</c:v>
                </c:pt>
              </c:numCache>
            </c:numRef>
          </c:val>
          <c:extLst>
            <c:ext xmlns:c16="http://schemas.microsoft.com/office/drawing/2014/chart" uri="{C3380CC4-5D6E-409C-BE32-E72D297353CC}">
              <c16:uniqueId val="{00000000-EA52-47F6-810F-2FAA9F3C24B7}"/>
            </c:ext>
          </c:extLst>
        </c:ser>
        <c:ser>
          <c:idx val="1"/>
          <c:order val="1"/>
          <c:tx>
            <c:strRef>
              <c:f>Problem.4!$N$8:$O$8</c:f>
              <c:strCache>
                <c:ptCount val="2"/>
                <c:pt idx="0">
                  <c:v>Rural+Urban</c:v>
                </c:pt>
                <c:pt idx="1">
                  <c:v> Health</c:v>
                </c:pt>
              </c:strCache>
            </c:strRef>
          </c:tx>
          <c:spPr>
            <a:solidFill>
              <a:schemeClr val="accent2"/>
            </a:solidFill>
            <a:ln>
              <a:noFill/>
            </a:ln>
            <a:effectLst/>
          </c:spPr>
          <c:invertIfNegative val="0"/>
          <c:cat>
            <c:strRef>
              <c:f>Problem.4!$P$3:$T$3</c:f>
              <c:strCache>
                <c:ptCount val="5"/>
                <c:pt idx="0">
                  <c:v>2018</c:v>
                </c:pt>
                <c:pt idx="1">
                  <c:v>2019</c:v>
                </c:pt>
                <c:pt idx="2">
                  <c:v>2020</c:v>
                </c:pt>
                <c:pt idx="3">
                  <c:v>2021</c:v>
                </c:pt>
                <c:pt idx="4">
                  <c:v>2022</c:v>
                </c:pt>
              </c:strCache>
            </c:strRef>
          </c:cat>
          <c:val>
            <c:numRef>
              <c:f>Problem.4!$P$8:$T$8</c:f>
              <c:numCache>
                <c:formatCode>0.00%</c:formatCode>
                <c:ptCount val="5"/>
                <c:pt idx="0">
                  <c:v>6.2077838533290831E-2</c:v>
                </c:pt>
                <c:pt idx="1">
                  <c:v>7.4588403722262109E-2</c:v>
                </c:pt>
                <c:pt idx="2">
                  <c:v>4.3534403246633074E-2</c:v>
                </c:pt>
                <c:pt idx="3">
                  <c:v>7.4926835975094988E-2</c:v>
                </c:pt>
                <c:pt idx="4">
                  <c:v>6.0800964775639302E-2</c:v>
                </c:pt>
              </c:numCache>
            </c:numRef>
          </c:val>
          <c:extLst>
            <c:ext xmlns:c16="http://schemas.microsoft.com/office/drawing/2014/chart" uri="{C3380CC4-5D6E-409C-BE32-E72D297353CC}">
              <c16:uniqueId val="{00000001-EA52-47F6-810F-2FAA9F3C24B7}"/>
            </c:ext>
          </c:extLst>
        </c:ser>
        <c:ser>
          <c:idx val="2"/>
          <c:order val="2"/>
          <c:tx>
            <c:strRef>
              <c:f>Problem.4!$N$9:$O$9</c:f>
              <c:strCache>
                <c:ptCount val="2"/>
                <c:pt idx="0">
                  <c:v>Rural+Urban</c:v>
                </c:pt>
                <c:pt idx="1">
                  <c:v> Essentital Services</c:v>
                </c:pt>
              </c:strCache>
            </c:strRef>
          </c:tx>
          <c:spPr>
            <a:solidFill>
              <a:schemeClr val="accent3"/>
            </a:solidFill>
            <a:ln>
              <a:noFill/>
            </a:ln>
            <a:effectLst/>
          </c:spPr>
          <c:invertIfNegative val="0"/>
          <c:cat>
            <c:strRef>
              <c:f>Problem.4!$P$3:$T$3</c:f>
              <c:strCache>
                <c:ptCount val="5"/>
                <c:pt idx="0">
                  <c:v>2018</c:v>
                </c:pt>
                <c:pt idx="1">
                  <c:v>2019</c:v>
                </c:pt>
                <c:pt idx="2">
                  <c:v>2020</c:v>
                </c:pt>
                <c:pt idx="3">
                  <c:v>2021</c:v>
                </c:pt>
                <c:pt idx="4">
                  <c:v>2022</c:v>
                </c:pt>
              </c:strCache>
            </c:strRef>
          </c:cat>
          <c:val>
            <c:numRef>
              <c:f>Problem.4!$P$9:$T$9</c:f>
              <c:numCache>
                <c:formatCode>0.00%</c:formatCode>
                <c:ptCount val="5"/>
                <c:pt idx="0">
                  <c:v>6.1327413186869663E-2</c:v>
                </c:pt>
                <c:pt idx="1">
                  <c:v>3.6261411039235844E-2</c:v>
                </c:pt>
                <c:pt idx="2">
                  <c:v>-0.10041538317931489</c:v>
                </c:pt>
                <c:pt idx="3">
                  <c:v>0.22710057329632427</c:v>
                </c:pt>
                <c:pt idx="4">
                  <c:v>6.649613664950775E-2</c:v>
                </c:pt>
              </c:numCache>
            </c:numRef>
          </c:val>
          <c:extLst>
            <c:ext xmlns:c16="http://schemas.microsoft.com/office/drawing/2014/chart" uri="{C3380CC4-5D6E-409C-BE32-E72D297353CC}">
              <c16:uniqueId val="{00000002-EA52-47F6-810F-2FAA9F3C24B7}"/>
            </c:ext>
          </c:extLst>
        </c:ser>
        <c:dLbls>
          <c:showLegendKey val="0"/>
          <c:showVal val="0"/>
          <c:showCatName val="0"/>
          <c:showSerName val="0"/>
          <c:showPercent val="0"/>
          <c:showBubbleSize val="0"/>
        </c:dLbls>
        <c:gapWidth val="219"/>
        <c:overlap val="-27"/>
        <c:axId val="1085935168"/>
        <c:axId val="1085931808"/>
      </c:barChart>
      <c:catAx>
        <c:axId val="10859351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5931808"/>
        <c:crosses val="autoZero"/>
        <c:auto val="1"/>
        <c:lblAlgn val="ctr"/>
        <c:lblOffset val="100"/>
        <c:noMultiLvlLbl val="0"/>
      </c:catAx>
      <c:valAx>
        <c:axId val="1085931808"/>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593516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Urban</a:t>
            </a:r>
            <a:r>
              <a:rPr lang="en-IN" sz="1400" b="0" i="0" u="none" strike="noStrike" kern="1200" spc="0" baseline="0">
                <a:solidFill>
                  <a:sysClr val="windowText" lastClr="000000">
                    <a:lumMod val="65000"/>
                    <a:lumOff val="35000"/>
                  </a:sysClr>
                </a:solidFill>
              </a:rPr>
              <a:t>: Inflation Pre and Post Covid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Problem.4!$N$10:$O$10</c:f>
              <c:strCache>
                <c:ptCount val="2"/>
                <c:pt idx="0">
                  <c:v>Urban</c:v>
                </c:pt>
                <c:pt idx="1">
                  <c:v> Food</c:v>
                </c:pt>
              </c:strCache>
            </c:strRef>
          </c:tx>
          <c:spPr>
            <a:solidFill>
              <a:schemeClr val="accent1"/>
            </a:solidFill>
            <a:ln>
              <a:noFill/>
            </a:ln>
            <a:effectLst/>
          </c:spPr>
          <c:invertIfNegative val="0"/>
          <c:cat>
            <c:strRef>
              <c:f>Problem.4!$P$3:$T$3</c:f>
              <c:strCache>
                <c:ptCount val="5"/>
                <c:pt idx="0">
                  <c:v>2018</c:v>
                </c:pt>
                <c:pt idx="1">
                  <c:v>2019</c:v>
                </c:pt>
                <c:pt idx="2">
                  <c:v>2020</c:v>
                </c:pt>
                <c:pt idx="3">
                  <c:v>2021</c:v>
                </c:pt>
                <c:pt idx="4">
                  <c:v>2022</c:v>
                </c:pt>
              </c:strCache>
            </c:strRef>
          </c:cat>
          <c:val>
            <c:numRef>
              <c:f>Problem.4!$P$10:$T$10</c:f>
              <c:numCache>
                <c:formatCode>0.00%</c:formatCode>
                <c:ptCount val="5"/>
                <c:pt idx="0">
                  <c:v>1.1339270987949442E-4</c:v>
                </c:pt>
                <c:pt idx="1">
                  <c:v>6.106676386724625E-2</c:v>
                </c:pt>
                <c:pt idx="2">
                  <c:v>-1.4868683657429611E-2</c:v>
                </c:pt>
                <c:pt idx="3">
                  <c:v>0.177048307416209</c:v>
                </c:pt>
                <c:pt idx="4">
                  <c:v>5.79636083372429E-2</c:v>
                </c:pt>
              </c:numCache>
            </c:numRef>
          </c:val>
          <c:extLst>
            <c:ext xmlns:c16="http://schemas.microsoft.com/office/drawing/2014/chart" uri="{C3380CC4-5D6E-409C-BE32-E72D297353CC}">
              <c16:uniqueId val="{00000000-5F83-4DF1-A99A-082FA5B98543}"/>
            </c:ext>
          </c:extLst>
        </c:ser>
        <c:ser>
          <c:idx val="1"/>
          <c:order val="1"/>
          <c:tx>
            <c:strRef>
              <c:f>Problem.4!$N$11:$O$11</c:f>
              <c:strCache>
                <c:ptCount val="2"/>
                <c:pt idx="0">
                  <c:v>Urban</c:v>
                </c:pt>
                <c:pt idx="1">
                  <c:v> Health</c:v>
                </c:pt>
              </c:strCache>
            </c:strRef>
          </c:tx>
          <c:spPr>
            <a:solidFill>
              <a:schemeClr val="accent2"/>
            </a:solidFill>
            <a:ln>
              <a:noFill/>
            </a:ln>
            <a:effectLst/>
          </c:spPr>
          <c:invertIfNegative val="0"/>
          <c:cat>
            <c:strRef>
              <c:f>Problem.4!$P$3:$T$3</c:f>
              <c:strCache>
                <c:ptCount val="5"/>
                <c:pt idx="0">
                  <c:v>2018</c:v>
                </c:pt>
                <c:pt idx="1">
                  <c:v>2019</c:v>
                </c:pt>
                <c:pt idx="2">
                  <c:v>2020</c:v>
                </c:pt>
                <c:pt idx="3">
                  <c:v>2021</c:v>
                </c:pt>
                <c:pt idx="4">
                  <c:v>2022</c:v>
                </c:pt>
              </c:strCache>
            </c:strRef>
          </c:cat>
          <c:val>
            <c:numRef>
              <c:f>Problem.4!$P$11:$T$11</c:f>
              <c:numCache>
                <c:formatCode>0.00%</c:formatCode>
                <c:ptCount val="5"/>
                <c:pt idx="0">
                  <c:v>6.7605445808862755E-2</c:v>
                </c:pt>
                <c:pt idx="1">
                  <c:v>5.5788869503941081E-2</c:v>
                </c:pt>
                <c:pt idx="2">
                  <c:v>5.2060457305257823E-2</c:v>
                </c:pt>
                <c:pt idx="3">
                  <c:v>8.387053863785171E-2</c:v>
                </c:pt>
                <c:pt idx="4">
                  <c:v>6.8227841528635896E-2</c:v>
                </c:pt>
              </c:numCache>
            </c:numRef>
          </c:val>
          <c:extLst>
            <c:ext xmlns:c16="http://schemas.microsoft.com/office/drawing/2014/chart" uri="{C3380CC4-5D6E-409C-BE32-E72D297353CC}">
              <c16:uniqueId val="{00000001-5F83-4DF1-A99A-082FA5B98543}"/>
            </c:ext>
          </c:extLst>
        </c:ser>
        <c:ser>
          <c:idx val="2"/>
          <c:order val="2"/>
          <c:tx>
            <c:strRef>
              <c:f>Problem.4!$N$12:$O$12</c:f>
              <c:strCache>
                <c:ptCount val="2"/>
                <c:pt idx="0">
                  <c:v>Urban</c:v>
                </c:pt>
                <c:pt idx="1">
                  <c:v> Essentital Services</c:v>
                </c:pt>
              </c:strCache>
            </c:strRef>
          </c:tx>
          <c:spPr>
            <a:solidFill>
              <a:schemeClr val="accent3"/>
            </a:solidFill>
            <a:ln>
              <a:noFill/>
            </a:ln>
            <a:effectLst/>
          </c:spPr>
          <c:invertIfNegative val="0"/>
          <c:cat>
            <c:strRef>
              <c:f>Problem.4!$P$3:$T$3</c:f>
              <c:strCache>
                <c:ptCount val="5"/>
                <c:pt idx="0">
                  <c:v>2018</c:v>
                </c:pt>
                <c:pt idx="1">
                  <c:v>2019</c:v>
                </c:pt>
                <c:pt idx="2">
                  <c:v>2020</c:v>
                </c:pt>
                <c:pt idx="3">
                  <c:v>2021</c:v>
                </c:pt>
                <c:pt idx="4">
                  <c:v>2022</c:v>
                </c:pt>
              </c:strCache>
            </c:strRef>
          </c:cat>
          <c:val>
            <c:numRef>
              <c:f>Problem.4!$P$12:$T$12</c:f>
              <c:numCache>
                <c:formatCode>0.00%</c:formatCode>
                <c:ptCount val="5"/>
                <c:pt idx="0">
                  <c:v>5.7976371196620725E-2</c:v>
                </c:pt>
                <c:pt idx="1">
                  <c:v>2.9930230474231059E-2</c:v>
                </c:pt>
                <c:pt idx="2">
                  <c:v>-9.0698939652248359E-2</c:v>
                </c:pt>
                <c:pt idx="3">
                  <c:v>0.23769301482833496</c:v>
                </c:pt>
                <c:pt idx="4">
                  <c:v>7.0290635091496037E-2</c:v>
                </c:pt>
              </c:numCache>
            </c:numRef>
          </c:val>
          <c:extLst>
            <c:ext xmlns:c16="http://schemas.microsoft.com/office/drawing/2014/chart" uri="{C3380CC4-5D6E-409C-BE32-E72D297353CC}">
              <c16:uniqueId val="{00000002-5F83-4DF1-A99A-082FA5B98543}"/>
            </c:ext>
          </c:extLst>
        </c:ser>
        <c:dLbls>
          <c:showLegendKey val="0"/>
          <c:showVal val="0"/>
          <c:showCatName val="0"/>
          <c:showSerName val="0"/>
          <c:showPercent val="0"/>
          <c:showBubbleSize val="0"/>
        </c:dLbls>
        <c:gapWidth val="219"/>
        <c:overlap val="-27"/>
        <c:axId val="999135008"/>
        <c:axId val="999133088"/>
      </c:barChart>
      <c:catAx>
        <c:axId val="9991350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9133088"/>
        <c:crosses val="autoZero"/>
        <c:auto val="1"/>
        <c:lblAlgn val="ctr"/>
        <c:lblOffset val="100"/>
        <c:noMultiLvlLbl val="0"/>
      </c:catAx>
      <c:valAx>
        <c:axId val="999133088"/>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913500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Correlation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Problem.5!$AJ$7</c:f>
              <c:strCache>
                <c:ptCount val="1"/>
                <c:pt idx="0">
                  <c:v>Rural</c:v>
                </c:pt>
              </c:strCache>
            </c:strRef>
          </c:tx>
          <c:spPr>
            <a:solidFill>
              <a:schemeClr val="accent1"/>
            </a:solidFill>
            <a:ln>
              <a:noFill/>
            </a:ln>
            <a:effectLst/>
          </c:spPr>
          <c:invertIfNegative val="0"/>
          <c:cat>
            <c:strRef>
              <c:f>Problem.5!$AI$8:$AI$34</c:f>
              <c:strCache>
                <c:ptCount val="27"/>
                <c:pt idx="0">
                  <c:v>Oils and fats</c:v>
                </c:pt>
                <c:pt idx="1">
                  <c:v>Meat and fish</c:v>
                </c:pt>
                <c:pt idx="2">
                  <c:v>Transport and communication</c:v>
                </c:pt>
                <c:pt idx="3">
                  <c:v>Recreation and amusement</c:v>
                </c:pt>
                <c:pt idx="4">
                  <c:v>Fuel and light</c:v>
                </c:pt>
                <c:pt idx="5">
                  <c:v>Miscellaneous</c:v>
                </c:pt>
                <c:pt idx="6">
                  <c:v>General index</c:v>
                </c:pt>
                <c:pt idx="7">
                  <c:v>Food and beverages</c:v>
                </c:pt>
                <c:pt idx="8">
                  <c:v>Household goods and services</c:v>
                </c:pt>
                <c:pt idx="9">
                  <c:v>Non-alcoholic beverages</c:v>
                </c:pt>
                <c:pt idx="10">
                  <c:v>Clothing</c:v>
                </c:pt>
                <c:pt idx="11">
                  <c:v>Clothing and footwear</c:v>
                </c:pt>
                <c:pt idx="12">
                  <c:v>Footwear</c:v>
                </c:pt>
                <c:pt idx="13">
                  <c:v>Health</c:v>
                </c:pt>
                <c:pt idx="14">
                  <c:v>Prepared meals, snacks, sweets etc.</c:v>
                </c:pt>
                <c:pt idx="15">
                  <c:v>Sugar and Confectionery</c:v>
                </c:pt>
                <c:pt idx="16">
                  <c:v>Housing</c:v>
                </c:pt>
                <c:pt idx="17">
                  <c:v>Education</c:v>
                </c:pt>
                <c:pt idx="18">
                  <c:v>Fruits</c:v>
                </c:pt>
                <c:pt idx="19">
                  <c:v>Personal care and effects</c:v>
                </c:pt>
                <c:pt idx="20">
                  <c:v>Pan, tobacco and intoxicants</c:v>
                </c:pt>
                <c:pt idx="21">
                  <c:v>Milk and products</c:v>
                </c:pt>
                <c:pt idx="22">
                  <c:v>Spices</c:v>
                </c:pt>
                <c:pt idx="23">
                  <c:v>Cereals and products</c:v>
                </c:pt>
                <c:pt idx="24">
                  <c:v>Vegetables</c:v>
                </c:pt>
                <c:pt idx="25">
                  <c:v>Pulses and products</c:v>
                </c:pt>
                <c:pt idx="26">
                  <c:v>Egg</c:v>
                </c:pt>
              </c:strCache>
            </c:strRef>
          </c:cat>
          <c:val>
            <c:numRef>
              <c:f>Problem.5!$AJ$8:$AJ$34</c:f>
              <c:numCache>
                <c:formatCode>0%</c:formatCode>
                <c:ptCount val="27"/>
                <c:pt idx="0">
                  <c:v>0.84347644671152178</c:v>
                </c:pt>
                <c:pt idx="1">
                  <c:v>0.8311953557084375</c:v>
                </c:pt>
                <c:pt idx="2">
                  <c:v>0.75422626542690707</c:v>
                </c:pt>
                <c:pt idx="3">
                  <c:v>0.68906697759853153</c:v>
                </c:pt>
                <c:pt idx="4">
                  <c:v>0.68652004508004316</c:v>
                </c:pt>
                <c:pt idx="5">
                  <c:v>0.65871203375453724</c:v>
                </c:pt>
                <c:pt idx="6">
                  <c:v>0.64481964318472185</c:v>
                </c:pt>
                <c:pt idx="7">
                  <c:v>0.60256504409199929</c:v>
                </c:pt>
                <c:pt idx="8">
                  <c:v>0.61651400861595163</c:v>
                </c:pt>
                <c:pt idx="9">
                  <c:v>0.72105055280060393</c:v>
                </c:pt>
                <c:pt idx="10">
                  <c:v>0.64551326302629164</c:v>
                </c:pt>
                <c:pt idx="11">
                  <c:v>0.64988175264983561</c:v>
                </c:pt>
                <c:pt idx="12">
                  <c:v>0.6761175044692429</c:v>
                </c:pt>
                <c:pt idx="13">
                  <c:v>0.6313152368718854</c:v>
                </c:pt>
                <c:pt idx="14">
                  <c:v>0.62424661762708378</c:v>
                </c:pt>
                <c:pt idx="15">
                  <c:v>0.58356583773637238</c:v>
                </c:pt>
                <c:pt idx="16">
                  <c:v>0</c:v>
                </c:pt>
                <c:pt idx="17">
                  <c:v>0.58367873115505864</c:v>
                </c:pt>
                <c:pt idx="18">
                  <c:v>0.64106986165868607</c:v>
                </c:pt>
                <c:pt idx="19">
                  <c:v>0.5614245546516069</c:v>
                </c:pt>
                <c:pt idx="20">
                  <c:v>0.60100446818917985</c:v>
                </c:pt>
                <c:pt idx="21">
                  <c:v>0.49208177665131331</c:v>
                </c:pt>
                <c:pt idx="22">
                  <c:v>0.4709749042074689</c:v>
                </c:pt>
                <c:pt idx="23">
                  <c:v>0.35015775691604245</c:v>
                </c:pt>
                <c:pt idx="24">
                  <c:v>-4.2841758808321882E-2</c:v>
                </c:pt>
                <c:pt idx="25">
                  <c:v>0.42140673511596438</c:v>
                </c:pt>
                <c:pt idx="26">
                  <c:v>-0.1705978427197021</c:v>
                </c:pt>
              </c:numCache>
            </c:numRef>
          </c:val>
          <c:extLst>
            <c:ext xmlns:c16="http://schemas.microsoft.com/office/drawing/2014/chart" uri="{C3380CC4-5D6E-409C-BE32-E72D297353CC}">
              <c16:uniqueId val="{00000000-9BBE-4405-83C0-02CF52862B29}"/>
            </c:ext>
          </c:extLst>
        </c:ser>
        <c:ser>
          <c:idx val="1"/>
          <c:order val="1"/>
          <c:tx>
            <c:strRef>
              <c:f>Problem.5!$AK$7</c:f>
              <c:strCache>
                <c:ptCount val="1"/>
                <c:pt idx="0">
                  <c:v>Rural+Urban</c:v>
                </c:pt>
              </c:strCache>
            </c:strRef>
          </c:tx>
          <c:spPr>
            <a:solidFill>
              <a:schemeClr val="accent2"/>
            </a:solidFill>
            <a:ln>
              <a:noFill/>
            </a:ln>
            <a:effectLst/>
          </c:spPr>
          <c:invertIfNegative val="0"/>
          <c:cat>
            <c:strRef>
              <c:f>Problem.5!$AI$8:$AI$34</c:f>
              <c:strCache>
                <c:ptCount val="27"/>
                <c:pt idx="0">
                  <c:v>Oils and fats</c:v>
                </c:pt>
                <c:pt idx="1">
                  <c:v>Meat and fish</c:v>
                </c:pt>
                <c:pt idx="2">
                  <c:v>Transport and communication</c:v>
                </c:pt>
                <c:pt idx="3">
                  <c:v>Recreation and amusement</c:v>
                </c:pt>
                <c:pt idx="4">
                  <c:v>Fuel and light</c:v>
                </c:pt>
                <c:pt idx="5">
                  <c:v>Miscellaneous</c:v>
                </c:pt>
                <c:pt idx="6">
                  <c:v>General index</c:v>
                </c:pt>
                <c:pt idx="7">
                  <c:v>Food and beverages</c:v>
                </c:pt>
                <c:pt idx="8">
                  <c:v>Household goods and services</c:v>
                </c:pt>
                <c:pt idx="9">
                  <c:v>Non-alcoholic beverages</c:v>
                </c:pt>
                <c:pt idx="10">
                  <c:v>Clothing</c:v>
                </c:pt>
                <c:pt idx="11">
                  <c:v>Clothing and footwear</c:v>
                </c:pt>
                <c:pt idx="12">
                  <c:v>Footwear</c:v>
                </c:pt>
                <c:pt idx="13">
                  <c:v>Health</c:v>
                </c:pt>
                <c:pt idx="14">
                  <c:v>Prepared meals, snacks, sweets etc.</c:v>
                </c:pt>
                <c:pt idx="15">
                  <c:v>Sugar and Confectionery</c:v>
                </c:pt>
                <c:pt idx="16">
                  <c:v>Housing</c:v>
                </c:pt>
                <c:pt idx="17">
                  <c:v>Education</c:v>
                </c:pt>
                <c:pt idx="18">
                  <c:v>Fruits</c:v>
                </c:pt>
                <c:pt idx="19">
                  <c:v>Personal care and effects</c:v>
                </c:pt>
                <c:pt idx="20">
                  <c:v>Pan, tobacco and intoxicants</c:v>
                </c:pt>
                <c:pt idx="21">
                  <c:v>Milk and products</c:v>
                </c:pt>
                <c:pt idx="22">
                  <c:v>Spices</c:v>
                </c:pt>
                <c:pt idx="23">
                  <c:v>Cereals and products</c:v>
                </c:pt>
                <c:pt idx="24">
                  <c:v>Vegetables</c:v>
                </c:pt>
                <c:pt idx="25">
                  <c:v>Pulses and products</c:v>
                </c:pt>
                <c:pt idx="26">
                  <c:v>Egg</c:v>
                </c:pt>
              </c:strCache>
            </c:strRef>
          </c:cat>
          <c:val>
            <c:numRef>
              <c:f>Problem.5!$AK$8:$AK$34</c:f>
              <c:numCache>
                <c:formatCode>0%</c:formatCode>
                <c:ptCount val="27"/>
                <c:pt idx="0">
                  <c:v>0.84422772692376136</c:v>
                </c:pt>
                <c:pt idx="1">
                  <c:v>0.83598749729266875</c:v>
                </c:pt>
                <c:pt idx="2">
                  <c:v>0.76576171271104887</c:v>
                </c:pt>
                <c:pt idx="3">
                  <c:v>0.70780060439817616</c:v>
                </c:pt>
                <c:pt idx="4">
                  <c:v>0.68314218184816067</c:v>
                </c:pt>
                <c:pt idx="5">
                  <c:v>0.66711382865951885</c:v>
                </c:pt>
                <c:pt idx="6">
                  <c:v>0.65481753095456197</c:v>
                </c:pt>
                <c:pt idx="7">
                  <c:v>0.62611760355909529</c:v>
                </c:pt>
                <c:pt idx="8">
                  <c:v>0.62840567323289465</c:v>
                </c:pt>
                <c:pt idx="9">
                  <c:v>0.69006812063410339</c:v>
                </c:pt>
                <c:pt idx="10">
                  <c:v>0.63999596542419068</c:v>
                </c:pt>
                <c:pt idx="11">
                  <c:v>0.64290501356080942</c:v>
                </c:pt>
                <c:pt idx="12">
                  <c:v>0.65743031343341085</c:v>
                </c:pt>
                <c:pt idx="13">
                  <c:v>0.62234139728974081</c:v>
                </c:pt>
                <c:pt idx="14">
                  <c:v>0.61390514483714842</c:v>
                </c:pt>
                <c:pt idx="15">
                  <c:v>0.57331528370969742</c:v>
                </c:pt>
                <c:pt idx="16">
                  <c:v>0.58062590091830779</c:v>
                </c:pt>
                <c:pt idx="17">
                  <c:v>0.56530282829272271</c:v>
                </c:pt>
                <c:pt idx="18">
                  <c:v>0.6037698236126493</c:v>
                </c:pt>
                <c:pt idx="19">
                  <c:v>0.54573216251432155</c:v>
                </c:pt>
                <c:pt idx="20">
                  <c:v>0.58049367771424432</c:v>
                </c:pt>
                <c:pt idx="21">
                  <c:v>0.49054554470049516</c:v>
                </c:pt>
                <c:pt idx="22">
                  <c:v>0.46693302033217432</c:v>
                </c:pt>
                <c:pt idx="23">
                  <c:v>0.35390489488918025</c:v>
                </c:pt>
                <c:pt idx="24">
                  <c:v>5.5923122604335171E-2</c:v>
                </c:pt>
                <c:pt idx="25">
                  <c:v>0.34068109477860187</c:v>
                </c:pt>
                <c:pt idx="26">
                  <c:v>-0.18908169545002326</c:v>
                </c:pt>
              </c:numCache>
            </c:numRef>
          </c:val>
          <c:extLst>
            <c:ext xmlns:c16="http://schemas.microsoft.com/office/drawing/2014/chart" uri="{C3380CC4-5D6E-409C-BE32-E72D297353CC}">
              <c16:uniqueId val="{00000001-9BBE-4405-83C0-02CF52862B29}"/>
            </c:ext>
          </c:extLst>
        </c:ser>
        <c:ser>
          <c:idx val="2"/>
          <c:order val="2"/>
          <c:tx>
            <c:strRef>
              <c:f>Problem.5!$AL$7</c:f>
              <c:strCache>
                <c:ptCount val="1"/>
                <c:pt idx="0">
                  <c:v>Urban</c:v>
                </c:pt>
              </c:strCache>
            </c:strRef>
          </c:tx>
          <c:spPr>
            <a:solidFill>
              <a:schemeClr val="accent3"/>
            </a:solidFill>
            <a:ln>
              <a:noFill/>
            </a:ln>
            <a:effectLst/>
          </c:spPr>
          <c:invertIfNegative val="0"/>
          <c:cat>
            <c:strRef>
              <c:f>Problem.5!$AI$8:$AI$34</c:f>
              <c:strCache>
                <c:ptCount val="27"/>
                <c:pt idx="0">
                  <c:v>Oils and fats</c:v>
                </c:pt>
                <c:pt idx="1">
                  <c:v>Meat and fish</c:v>
                </c:pt>
                <c:pt idx="2">
                  <c:v>Transport and communication</c:v>
                </c:pt>
                <c:pt idx="3">
                  <c:v>Recreation and amusement</c:v>
                </c:pt>
                <c:pt idx="4">
                  <c:v>Fuel and light</c:v>
                </c:pt>
                <c:pt idx="5">
                  <c:v>Miscellaneous</c:v>
                </c:pt>
                <c:pt idx="6">
                  <c:v>General index</c:v>
                </c:pt>
                <c:pt idx="7">
                  <c:v>Food and beverages</c:v>
                </c:pt>
                <c:pt idx="8">
                  <c:v>Household goods and services</c:v>
                </c:pt>
                <c:pt idx="9">
                  <c:v>Non-alcoholic beverages</c:v>
                </c:pt>
                <c:pt idx="10">
                  <c:v>Clothing</c:v>
                </c:pt>
                <c:pt idx="11">
                  <c:v>Clothing and footwear</c:v>
                </c:pt>
                <c:pt idx="12">
                  <c:v>Footwear</c:v>
                </c:pt>
                <c:pt idx="13">
                  <c:v>Health</c:v>
                </c:pt>
                <c:pt idx="14">
                  <c:v>Prepared meals, snacks, sweets etc.</c:v>
                </c:pt>
                <c:pt idx="15">
                  <c:v>Sugar and Confectionery</c:v>
                </c:pt>
                <c:pt idx="16">
                  <c:v>Housing</c:v>
                </c:pt>
                <c:pt idx="17">
                  <c:v>Education</c:v>
                </c:pt>
                <c:pt idx="18">
                  <c:v>Fruits</c:v>
                </c:pt>
                <c:pt idx="19">
                  <c:v>Personal care and effects</c:v>
                </c:pt>
                <c:pt idx="20">
                  <c:v>Pan, tobacco and intoxicants</c:v>
                </c:pt>
                <c:pt idx="21">
                  <c:v>Milk and products</c:v>
                </c:pt>
                <c:pt idx="22">
                  <c:v>Spices</c:v>
                </c:pt>
                <c:pt idx="23">
                  <c:v>Cereals and products</c:v>
                </c:pt>
                <c:pt idx="24">
                  <c:v>Vegetables</c:v>
                </c:pt>
                <c:pt idx="25">
                  <c:v>Pulses and products</c:v>
                </c:pt>
                <c:pt idx="26">
                  <c:v>Egg</c:v>
                </c:pt>
              </c:strCache>
            </c:strRef>
          </c:cat>
          <c:val>
            <c:numRef>
              <c:f>Problem.5!$AL$8:$AL$34</c:f>
              <c:numCache>
                <c:formatCode>0%</c:formatCode>
                <c:ptCount val="27"/>
                <c:pt idx="0">
                  <c:v>0.85325827127484377</c:v>
                </c:pt>
                <c:pt idx="1">
                  <c:v>0.84330774093722249</c:v>
                </c:pt>
                <c:pt idx="2">
                  <c:v>0.77512710209787494</c:v>
                </c:pt>
                <c:pt idx="3">
                  <c:v>0.71873792028041816</c:v>
                </c:pt>
                <c:pt idx="4">
                  <c:v>0.67776210527972391</c:v>
                </c:pt>
                <c:pt idx="5">
                  <c:v>0.67538784217301051</c:v>
                </c:pt>
                <c:pt idx="6">
                  <c:v>0.66655127045903018</c:v>
                </c:pt>
                <c:pt idx="7">
                  <c:v>0.66292465080795948</c:v>
                </c:pt>
                <c:pt idx="8">
                  <c:v>0.64311230420905141</c:v>
                </c:pt>
                <c:pt idx="9">
                  <c:v>0.63631162486377402</c:v>
                </c:pt>
                <c:pt idx="10">
                  <c:v>0.6304794492369209</c:v>
                </c:pt>
                <c:pt idx="11">
                  <c:v>0.62974588943675336</c:v>
                </c:pt>
                <c:pt idx="12">
                  <c:v>0.62512775402214515</c:v>
                </c:pt>
                <c:pt idx="13">
                  <c:v>0.61060353104112297</c:v>
                </c:pt>
                <c:pt idx="14">
                  <c:v>0.60457236950804727</c:v>
                </c:pt>
                <c:pt idx="15">
                  <c:v>0.59659705450519795</c:v>
                </c:pt>
                <c:pt idx="16">
                  <c:v>0.58062590091830779</c:v>
                </c:pt>
                <c:pt idx="17">
                  <c:v>0.55291078874698063</c:v>
                </c:pt>
                <c:pt idx="18">
                  <c:v>0.54491401923217209</c:v>
                </c:pt>
                <c:pt idx="19">
                  <c:v>0.51823921073517254</c:v>
                </c:pt>
                <c:pt idx="20">
                  <c:v>0.51664527918801773</c:v>
                </c:pt>
                <c:pt idx="21">
                  <c:v>0.48804737960574901</c:v>
                </c:pt>
                <c:pt idx="22">
                  <c:v>0.45829348646500984</c:v>
                </c:pt>
                <c:pt idx="23">
                  <c:v>0.36599495618539468</c:v>
                </c:pt>
                <c:pt idx="24">
                  <c:v>0.22199555529250886</c:v>
                </c:pt>
                <c:pt idx="25">
                  <c:v>0.18291924602534482</c:v>
                </c:pt>
                <c:pt idx="26">
                  <c:v>-0.23519088860405676</c:v>
                </c:pt>
              </c:numCache>
            </c:numRef>
          </c:val>
          <c:extLst>
            <c:ext xmlns:c16="http://schemas.microsoft.com/office/drawing/2014/chart" uri="{C3380CC4-5D6E-409C-BE32-E72D297353CC}">
              <c16:uniqueId val="{00000002-9BBE-4405-83C0-02CF52862B29}"/>
            </c:ext>
          </c:extLst>
        </c:ser>
        <c:dLbls>
          <c:showLegendKey val="0"/>
          <c:showVal val="0"/>
          <c:showCatName val="0"/>
          <c:showSerName val="0"/>
          <c:showPercent val="0"/>
          <c:showBubbleSize val="0"/>
        </c:dLbls>
        <c:gapWidth val="219"/>
        <c:overlap val="-27"/>
        <c:axId val="1389898416"/>
        <c:axId val="1389900336"/>
      </c:barChart>
      <c:catAx>
        <c:axId val="13898984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9900336"/>
        <c:crosses val="autoZero"/>
        <c:auto val="1"/>
        <c:lblAlgn val="ctr"/>
        <c:lblOffset val="100"/>
        <c:noMultiLvlLbl val="0"/>
      </c:catAx>
      <c:valAx>
        <c:axId val="138990033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989841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s>
</file>

<file path=xl/drawings/_rels/drawing5.xml.rels><?xml version="1.0" encoding="UTF-8" standalone="yes"?>
<Relationships xmlns="http://schemas.openxmlformats.org/package/2006/relationships"><Relationship Id="rId1" Type="http://schemas.openxmlformats.org/officeDocument/2006/relationships/chart" Target="../charts/chart8.xml"/></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14</xdr:col>
      <xdr:colOff>106680</xdr:colOff>
      <xdr:row>5</xdr:row>
      <xdr:rowOff>76200</xdr:rowOff>
    </xdr:from>
    <xdr:to>
      <xdr:col>27</xdr:col>
      <xdr:colOff>320040</xdr:colOff>
      <xdr:row>29</xdr:row>
      <xdr:rowOff>7620</xdr:rowOff>
    </xdr:to>
    <xdr:graphicFrame macro="">
      <xdr:nvGraphicFramePr>
        <xdr:cNvPr id="2" name="Chart 1">
          <a:extLst>
            <a:ext uri="{FF2B5EF4-FFF2-40B4-BE49-F238E27FC236}">
              <a16:creationId xmlns:a16="http://schemas.microsoft.com/office/drawing/2014/main" id="{B16BCCDD-4609-982C-0C5D-2EEF4B4CA9D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7</xdr:col>
      <xdr:colOff>350520</xdr:colOff>
      <xdr:row>73</xdr:row>
      <xdr:rowOff>34290</xdr:rowOff>
    </xdr:from>
    <xdr:to>
      <xdr:col>13</xdr:col>
      <xdr:colOff>45720</xdr:colOff>
      <xdr:row>88</xdr:row>
      <xdr:rowOff>34290</xdr:rowOff>
    </xdr:to>
    <xdr:graphicFrame macro="">
      <xdr:nvGraphicFramePr>
        <xdr:cNvPr id="2" name="Chart 1">
          <a:extLst>
            <a:ext uri="{FF2B5EF4-FFF2-40B4-BE49-F238E27FC236}">
              <a16:creationId xmlns:a16="http://schemas.microsoft.com/office/drawing/2014/main" id="{0BA2F0C2-FC5B-B8DB-0DA4-BE875D4CBC4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27</xdr:col>
      <xdr:colOff>373380</xdr:colOff>
      <xdr:row>0</xdr:row>
      <xdr:rowOff>11430</xdr:rowOff>
    </xdr:from>
    <xdr:to>
      <xdr:col>36</xdr:col>
      <xdr:colOff>579120</xdr:colOff>
      <xdr:row>13</xdr:row>
      <xdr:rowOff>53340</xdr:rowOff>
    </xdr:to>
    <xdr:graphicFrame macro="">
      <xdr:nvGraphicFramePr>
        <xdr:cNvPr id="2" name="Chart 1">
          <a:extLst>
            <a:ext uri="{FF2B5EF4-FFF2-40B4-BE49-F238E27FC236}">
              <a16:creationId xmlns:a16="http://schemas.microsoft.com/office/drawing/2014/main" id="{34247D0B-0615-434F-7084-336E816B7EE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27</xdr:col>
      <xdr:colOff>449580</xdr:colOff>
      <xdr:row>16</xdr:row>
      <xdr:rowOff>171450</xdr:rowOff>
    </xdr:from>
    <xdr:to>
      <xdr:col>38</xdr:col>
      <xdr:colOff>144780</xdr:colOff>
      <xdr:row>31</xdr:row>
      <xdr:rowOff>167640</xdr:rowOff>
    </xdr:to>
    <xdr:graphicFrame macro="">
      <xdr:nvGraphicFramePr>
        <xdr:cNvPr id="3" name="Chart 2">
          <a:extLst>
            <a:ext uri="{FF2B5EF4-FFF2-40B4-BE49-F238E27FC236}">
              <a16:creationId xmlns:a16="http://schemas.microsoft.com/office/drawing/2014/main" id="{D0840458-9420-157B-50CB-7187355BF4B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20</xdr:col>
      <xdr:colOff>266700</xdr:colOff>
      <xdr:row>0</xdr:row>
      <xdr:rowOff>102870</xdr:rowOff>
    </xdr:from>
    <xdr:to>
      <xdr:col>27</xdr:col>
      <xdr:colOff>571500</xdr:colOff>
      <xdr:row>15</xdr:row>
      <xdr:rowOff>102870</xdr:rowOff>
    </xdr:to>
    <xdr:graphicFrame macro="">
      <xdr:nvGraphicFramePr>
        <xdr:cNvPr id="8" name="Chart 7">
          <a:extLst>
            <a:ext uri="{FF2B5EF4-FFF2-40B4-BE49-F238E27FC236}">
              <a16:creationId xmlns:a16="http://schemas.microsoft.com/office/drawing/2014/main" id="{F5204C82-B41F-E568-BCB2-F456AA44AE3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20</xdr:col>
      <xdr:colOff>297180</xdr:colOff>
      <xdr:row>16</xdr:row>
      <xdr:rowOff>125730</xdr:rowOff>
    </xdr:from>
    <xdr:to>
      <xdr:col>27</xdr:col>
      <xdr:colOff>601980</xdr:colOff>
      <xdr:row>31</xdr:row>
      <xdr:rowOff>125730</xdr:rowOff>
    </xdr:to>
    <xdr:graphicFrame macro="">
      <xdr:nvGraphicFramePr>
        <xdr:cNvPr id="13" name="Chart 12">
          <a:extLst>
            <a:ext uri="{FF2B5EF4-FFF2-40B4-BE49-F238E27FC236}">
              <a16:creationId xmlns:a16="http://schemas.microsoft.com/office/drawing/2014/main" id="{401D9833-89AC-8DE2-E4DA-62B2DF33EFC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205740</xdr:colOff>
      <xdr:row>13</xdr:row>
      <xdr:rowOff>26670</xdr:rowOff>
    </xdr:from>
    <xdr:to>
      <xdr:col>19</xdr:col>
      <xdr:colOff>960120</xdr:colOff>
      <xdr:row>28</xdr:row>
      <xdr:rowOff>26670</xdr:rowOff>
    </xdr:to>
    <xdr:graphicFrame macro="">
      <xdr:nvGraphicFramePr>
        <xdr:cNvPr id="14" name="Chart 13">
          <a:extLst>
            <a:ext uri="{FF2B5EF4-FFF2-40B4-BE49-F238E27FC236}">
              <a16:creationId xmlns:a16="http://schemas.microsoft.com/office/drawing/2014/main" id="{9AE9C54E-89BF-FC7D-D4FE-4BDFA00AE5D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38</xdr:col>
      <xdr:colOff>365760</xdr:colOff>
      <xdr:row>10</xdr:row>
      <xdr:rowOff>179070</xdr:rowOff>
    </xdr:from>
    <xdr:to>
      <xdr:col>52</xdr:col>
      <xdr:colOff>502920</xdr:colOff>
      <xdr:row>35</xdr:row>
      <xdr:rowOff>144780</xdr:rowOff>
    </xdr:to>
    <xdr:graphicFrame macro="">
      <xdr:nvGraphicFramePr>
        <xdr:cNvPr id="3" name="Chart 2">
          <a:extLst>
            <a:ext uri="{FF2B5EF4-FFF2-40B4-BE49-F238E27FC236}">
              <a16:creationId xmlns:a16="http://schemas.microsoft.com/office/drawing/2014/main" id="{0FD875D8-2B8B-202C-C680-06C70486E7B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0</xdr:row>
      <xdr:rowOff>19050</xdr:rowOff>
    </xdr:from>
    <xdr:to>
      <xdr:col>1</xdr:col>
      <xdr:colOff>329358</xdr:colOff>
      <xdr:row>5</xdr:row>
      <xdr:rowOff>194310</xdr:rowOff>
    </xdr:to>
    <xdr:pic>
      <xdr:nvPicPr>
        <xdr:cNvPr id="2" name="Picture 1">
          <a:extLst>
            <a:ext uri="{FF2B5EF4-FFF2-40B4-BE49-F238E27FC236}">
              <a16:creationId xmlns:a16="http://schemas.microsoft.com/office/drawing/2014/main" id="{4E010394-15DA-4F1D-A902-75449E654D1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17170"/>
          <a:ext cx="938958" cy="10896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idhi Gupta" refreshedDate="45945.012570370367" createdVersion="8" refreshedVersion="8" minRefreshableVersion="3" recordCount="71" xr:uid="{4E749FAF-5B93-40D2-98A4-6FD4A481F716}">
  <cacheSource type="worksheet">
    <worksheetSource ref="A1:AD72" sheet="Problem.2"/>
  </cacheSource>
  <cacheFields count="30">
    <cacheField name="Sector" numFmtId="0">
      <sharedItems/>
    </cacheField>
    <cacheField name="Year" numFmtId="0">
      <sharedItems containsSemiMixedTypes="0" containsString="0" containsNumber="1" containsInteger="1" minValue="2017" maxValue="2022" count="6">
        <n v="2017"/>
        <n v="2018"/>
        <n v="2019"/>
        <n v="2020"/>
        <n v="2021"/>
        <n v="2022"/>
      </sharedItems>
    </cacheField>
    <cacheField name="Month" numFmtId="0">
      <sharedItems count="12">
        <s v="January"/>
        <s v="February"/>
        <s v="March"/>
        <s v="April"/>
        <s v="May"/>
        <s v="June"/>
        <s v="July"/>
        <s v="August"/>
        <s v="September"/>
        <s v="October"/>
        <s v="November"/>
        <s v="December"/>
      </sharedItems>
    </cacheField>
    <cacheField name="Cereals and products" numFmtId="0">
      <sharedItems containsMixedTypes="1" containsNumber="1" minValue="132.80000000000001" maxValue="169.2"/>
    </cacheField>
    <cacheField name="Meat and fish" numFmtId="0">
      <sharedItems containsMixedTypes="1" containsNumber="1" minValue="138.19999999999999" maxValue="219.4"/>
    </cacheField>
    <cacheField name="Egg" numFmtId="0">
      <sharedItems containsMixedTypes="1" containsNumber="1" minValue="126.1" maxValue="190.2"/>
    </cacheField>
    <cacheField name="Milk and products" numFmtId="0">
      <sharedItems containsMixedTypes="1" containsNumber="1" minValue="135.4" maxValue="173.6"/>
    </cacheField>
    <cacheField name="Oils and fats" numFmtId="0">
      <sharedItems containsMixedTypes="1" containsNumber="1" minValue="118.1" maxValue="202.4"/>
    </cacheField>
    <cacheField name="Fruits" numFmtId="0">
      <sharedItems containsMixedTypes="1" containsNumber="1" minValue="133" maxValue="174.2"/>
    </cacheField>
    <cacheField name="Vegetables" numFmtId="0">
      <sharedItems containsMixedTypes="1" containsNumber="1" minValue="119.4" maxValue="230.5"/>
    </cacheField>
    <cacheField name="Pulses and products" numFmtId="0">
      <sharedItems containsMixedTypes="1" containsNumber="1" minValue="119.1" maxValue="170.8"/>
    </cacheField>
    <cacheField name="Sugar and Confectionery" numFmtId="0">
      <sharedItems containsMixedTypes="1" containsNumber="1" minValue="109" maxValue="123"/>
    </cacheField>
    <cacheField name="Spices" numFmtId="0">
      <sharedItems containsMixedTypes="1" containsNumber="1" minValue="135.19999999999999" maxValue="205.2"/>
    </cacheField>
    <cacheField name="Non-alcoholic beverages" numFmtId="0">
      <sharedItems containsMixedTypes="1" containsNumber="1" minValue="126.6" maxValue="171"/>
    </cacheField>
    <cacheField name="Prepared meals, snacks, sweets etc." numFmtId="0">
      <sharedItems containsMixedTypes="1" containsNumber="1" minValue="142.80000000000001" maxValue="190.3"/>
    </cacheField>
    <cacheField name="Food and beverages" numFmtId="0">
      <sharedItems containsMixedTypes="1" containsNumber="1" minValue="133" maxValue="179.6"/>
    </cacheField>
    <cacheField name="Pan, tobacco and intoxicants" numFmtId="0">
      <sharedItems containsMixedTypes="1" containsNumber="1" minValue="143.80000000000001" maxValue="197.3"/>
    </cacheField>
    <cacheField name="Clothing" numFmtId="0">
      <sharedItems containsMixedTypes="1" containsNumber="1" minValue="136.6" maxValue="184"/>
    </cacheField>
    <cacheField name="Footwear" numFmtId="0">
      <sharedItems containsMixedTypes="1" containsNumber="1" minValue="130.19999999999999" maxValue="177"/>
    </cacheField>
    <cacheField name="Clothing and footwear" numFmtId="0">
      <sharedItems containsMixedTypes="1" containsNumber="1" minValue="135.6" maxValue="183"/>
    </cacheField>
    <cacheField name="Housing" numFmtId="0">
      <sharedItems containsMixedTypes="1" containsNumber="1" minValue="129.6" maxValue="171.8"/>
    </cacheField>
    <cacheField name="Fuel and light" numFmtId="0">
      <sharedItems containsMixedTypes="1" containsNumber="1" minValue="126.8" maxValue="182"/>
    </cacheField>
    <cacheField name="Household goods and services" numFmtId="0">
      <sharedItems containsMixedTypes="1" containsNumber="1" minValue="129.4" maxValue="172.1"/>
    </cacheField>
    <cacheField name="Health" numFmtId="0">
      <sharedItems containsMixedTypes="1" containsNumber="1" minValue="127.1" maxValue="181.1"/>
    </cacheField>
    <cacheField name="Transport and communication" numFmtId="0">
      <sharedItems containsMixedTypes="1" containsNumber="1" minValue="116" maxValue="163.4"/>
    </cacheField>
    <cacheField name="Recreation and amusement" numFmtId="0">
      <sharedItems containsMixedTypes="1" containsNumber="1" minValue="124.2" maxValue="168.9"/>
    </cacheField>
    <cacheField name="Education" numFmtId="0">
      <sharedItems containsMixedTypes="1" containsNumber="1" minValue="133.30000000000001" maxValue="174.1"/>
    </cacheField>
    <cacheField name="Personal care and effects" numFmtId="0">
      <sharedItems containsMixedTypes="1" containsNumber="1" minValue="121.7" maxValue="175.8"/>
    </cacheField>
    <cacheField name="Miscellaneous" numFmtId="0">
      <sharedItems containsMixedTypes="1" containsNumber="1" minValue="124.4" maxValue="172"/>
    </cacheField>
    <cacheField name="General index" numFmtId="0">
      <sharedItems containsMixedTypes="1" containsNumber="1" minValue="130.30000000000001" maxValue="176.7"/>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idhi Gupta" refreshedDate="45945.823026967591" createdVersion="8" refreshedVersion="8" minRefreshableVersion="3" recordCount="213" xr:uid="{794F5FE0-441F-4900-BFD3-EA40F36112B3}">
  <cacheSource type="worksheet">
    <worksheetSource ref="A1:F214" sheet="Problem.4"/>
  </cacheSource>
  <cacheFields count="6">
    <cacheField name="Sector" numFmtId="0">
      <sharedItems count="3">
        <s v="Rural"/>
        <s v="Urban"/>
        <s v="Rural+Urban"/>
      </sharedItems>
    </cacheField>
    <cacheField name="Year" numFmtId="0">
      <sharedItems containsSemiMixedTypes="0" containsString="0" containsNumber="1" containsInteger="1" minValue="2017" maxValue="2022" count="6">
        <n v="2017"/>
        <n v="2018"/>
        <n v="2019"/>
        <n v="2020"/>
        <n v="2021"/>
        <n v="2022"/>
      </sharedItems>
    </cacheField>
    <cacheField name="Month" numFmtId="0">
      <sharedItems/>
    </cacheField>
    <cacheField name="Food" numFmtId="0">
      <sharedItems containsSemiMixedTypes="0" containsString="0" containsNumber="1" minValue="0" maxValue="2160.7000000000003"/>
    </cacheField>
    <cacheField name="Health" numFmtId="0">
      <sharedItems containsMixedTypes="1" containsNumber="1" minValue="122.6" maxValue="183.5"/>
    </cacheField>
    <cacheField name="Essentital Services" numFmtId="0">
      <sharedItems containsSemiMixedTypes="0" containsString="0" containsNumber="1" minValue="0" maxValue="862.3"/>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1">
  <r>
    <s v="Rural+Urban"/>
    <x v="0"/>
    <x v="0"/>
    <n v="132.80000000000001"/>
    <n v="138.19999999999999"/>
    <n v="132.19999999999999"/>
    <n v="135.4"/>
    <n v="119.1"/>
    <n v="133"/>
    <n v="119.4"/>
    <n v="159.5"/>
    <n v="115.6"/>
    <n v="139.6"/>
    <n v="126.6"/>
    <n v="142.80000000000001"/>
    <n v="133.1"/>
    <n v="143.80000000000001"/>
    <n v="136.6"/>
    <n v="130.19999999999999"/>
    <n v="135.6"/>
    <n v="129.6"/>
    <n v="126.8"/>
    <n v="129.4"/>
    <n v="127.1"/>
    <n v="117"/>
    <n v="124.2"/>
    <n v="133.30000000000001"/>
    <n v="121.7"/>
    <n v="124.4"/>
    <n v="130.30000000000001"/>
  </r>
  <r>
    <s v="Rural+Urban"/>
    <x v="0"/>
    <x v="1"/>
    <n v="133.1"/>
    <n v="138.80000000000001"/>
    <n v="129.30000000000001"/>
    <n v="135.80000000000001"/>
    <n v="119.2"/>
    <n v="135.30000000000001"/>
    <n v="119.5"/>
    <n v="152.19999999999999"/>
    <n v="117.3"/>
    <n v="138.69999999999999"/>
    <n v="126.9"/>
    <n v="143.19999999999999"/>
    <n v="133"/>
    <n v="144.4"/>
    <n v="136.80000000000001"/>
    <n v="130.30000000000001"/>
    <n v="135.9"/>
    <n v="130.5"/>
    <n v="127.9"/>
    <n v="129.69999999999999"/>
    <n v="127.4"/>
    <n v="117.4"/>
    <n v="124.6"/>
    <n v="133.4"/>
    <n v="122.6"/>
    <n v="124.8"/>
    <n v="130.6"/>
  </r>
  <r>
    <s v="Rural+Urban"/>
    <x v="0"/>
    <x v="2"/>
    <n v="133.30000000000001"/>
    <n v="139"/>
    <n v="128.6"/>
    <n v="136.30000000000001"/>
    <n v="118.8"/>
    <n v="138.30000000000001"/>
    <n v="120.5"/>
    <n v="143.9"/>
    <n v="118"/>
    <n v="137.9"/>
    <n v="127.2"/>
    <n v="144"/>
    <n v="133.1"/>
    <n v="145.1"/>
    <n v="137.30000000000001"/>
    <n v="130.6"/>
    <n v="136.4"/>
    <n v="131.1"/>
    <n v="129.1"/>
    <n v="130.1"/>
    <n v="127.8"/>
    <n v="117.6"/>
    <n v="125"/>
    <n v="133.80000000000001"/>
    <n v="122.6"/>
    <n v="125.1"/>
    <n v="130.9"/>
  </r>
  <r>
    <s v="Rural+Urban"/>
    <x v="0"/>
    <x v="3"/>
    <n v="133"/>
    <n v="139.4"/>
    <n v="126.1"/>
    <n v="137.19999999999999"/>
    <n v="118.4"/>
    <n v="139.9"/>
    <n v="123.4"/>
    <n v="140.9"/>
    <n v="118.5"/>
    <n v="136.5"/>
    <n v="127.4"/>
    <n v="144.19999999999999"/>
    <n v="133.5"/>
    <n v="145.4"/>
    <n v="138"/>
    <n v="131.1"/>
    <n v="137"/>
    <n v="131.69999999999999"/>
    <n v="129.80000000000001"/>
    <n v="130.4"/>
    <n v="128.1"/>
    <n v="116.6"/>
    <n v="125.1"/>
    <n v="134.5"/>
    <n v="123.1"/>
    <n v="125.1"/>
    <n v="131.1"/>
  </r>
  <r>
    <s v="Rural+Urban"/>
    <x v="0"/>
    <x v="4"/>
    <n v="132.9"/>
    <n v="141.6"/>
    <n v="126.3"/>
    <n v="137.69999999999999"/>
    <n v="118.1"/>
    <n v="137.9"/>
    <n v="125.6"/>
    <n v="138.30000000000001"/>
    <n v="119.4"/>
    <n v="136"/>
    <n v="127.6"/>
    <n v="144.5"/>
    <n v="133.69999999999999"/>
    <n v="146.19999999999999"/>
    <n v="138.19999999999999"/>
    <n v="131.4"/>
    <n v="137.19999999999999"/>
    <n v="132.1"/>
    <n v="129.4"/>
    <n v="130.9"/>
    <n v="128.4"/>
    <n v="116.7"/>
    <n v="125.7"/>
    <n v="134.80000000000001"/>
    <n v="123"/>
    <n v="125.3"/>
    <n v="131.4"/>
  </r>
  <r>
    <s v="Rural+Urban"/>
    <x v="0"/>
    <x v="5"/>
    <n v="133.30000000000001"/>
    <n v="145.5"/>
    <n v="128.1"/>
    <n v="138.1"/>
    <n v="118.2"/>
    <n v="139.19999999999999"/>
    <n v="133.30000000000001"/>
    <n v="136.19999999999999"/>
    <n v="119.6"/>
    <n v="135.30000000000001"/>
    <n v="127.8"/>
    <n v="144.9"/>
    <n v="135.19999999999999"/>
    <n v="146.5"/>
    <n v="138.5"/>
    <n v="131.69999999999999"/>
    <n v="137.5"/>
    <n v="131.4"/>
    <n v="128.80000000000001"/>
    <n v="131.19999999999999"/>
    <n v="128.5"/>
    <n v="116.5"/>
    <n v="125.9"/>
    <n v="135.4"/>
    <n v="123.4"/>
    <n v="125.5"/>
    <n v="132"/>
  </r>
  <r>
    <s v="Rural+Urban"/>
    <x v="0"/>
    <x v="6"/>
    <n v="133.6"/>
    <n v="145.69999999999999"/>
    <n v="129.6"/>
    <n v="138.5"/>
    <n v="118.1"/>
    <n v="141.80000000000001"/>
    <n v="159.5"/>
    <n v="133.6"/>
    <n v="120.5"/>
    <n v="135.19999999999999"/>
    <n v="128.5"/>
    <n v="145.80000000000001"/>
    <n v="139"/>
    <n v="148.19999999999999"/>
    <n v="139.30000000000001"/>
    <n v="132.1"/>
    <n v="138.30000000000001"/>
    <n v="132.6"/>
    <n v="129.4"/>
    <n v="131.9"/>
    <n v="129.4"/>
    <n v="116"/>
    <n v="126.6"/>
    <n v="136.80000000000001"/>
    <n v="123.6"/>
    <n v="125.9"/>
    <n v="134.19999999999999"/>
  </r>
  <r>
    <s v="Rural+Urban"/>
    <x v="0"/>
    <x v="7"/>
    <n v="134.30000000000001"/>
    <n v="143.4"/>
    <n v="129.30000000000001"/>
    <n v="139"/>
    <n v="118.1"/>
    <n v="145.5"/>
    <n v="168.6"/>
    <n v="132.69999999999999"/>
    <n v="121.2"/>
    <n v="135.6"/>
    <n v="128.69999999999999"/>
    <n v="146.80000000000001"/>
    <n v="140.6"/>
    <n v="149.80000000000001"/>
    <n v="140.30000000000001"/>
    <n v="133"/>
    <n v="139.30000000000001"/>
    <n v="134.4"/>
    <n v="129.80000000000001"/>
    <n v="132.80000000000001"/>
    <n v="130.19999999999999"/>
    <n v="117.3"/>
    <n v="127.3"/>
    <n v="137.6"/>
    <n v="124.5"/>
    <n v="126.8"/>
    <n v="135.4"/>
  </r>
  <r>
    <s v="Rural+Urban"/>
    <x v="0"/>
    <x v="8"/>
    <n v="134.69999999999999"/>
    <n v="142.4"/>
    <n v="130.19999999999999"/>
    <n v="139.6"/>
    <n v="118.4"/>
    <n v="143"/>
    <n v="156.6"/>
    <n v="132.9"/>
    <n v="121.5"/>
    <n v="135.6"/>
    <n v="128.80000000000001"/>
    <n v="147.30000000000001"/>
    <n v="139"/>
    <n v="150.80000000000001"/>
    <n v="141.1"/>
    <n v="133.4"/>
    <n v="140"/>
    <n v="135.69999999999999"/>
    <n v="131"/>
    <n v="133.30000000000001"/>
    <n v="130.6"/>
    <n v="118.3"/>
    <n v="127.9"/>
    <n v="137.4"/>
    <n v="125.7"/>
    <n v="127.5"/>
    <n v="135.19999999999999"/>
  </r>
  <r>
    <s v="Rural+Urban"/>
    <x v="0"/>
    <x v="9"/>
    <n v="135.30000000000001"/>
    <n v="142.19999999999999"/>
    <n v="131.19999999999999"/>
    <n v="140.6"/>
    <n v="119"/>
    <n v="141.5"/>
    <n v="162.6"/>
    <n v="132.30000000000001"/>
    <n v="121.8"/>
    <n v="136.30000000000001"/>
    <n v="128.69999999999999"/>
    <n v="148.1"/>
    <n v="140.1"/>
    <n v="151.6"/>
    <n v="142"/>
    <n v="134.1"/>
    <n v="140.80000000000001"/>
    <n v="137.30000000000001"/>
    <n v="132.19999999999999"/>
    <n v="133.6"/>
    <n v="131.30000000000001"/>
    <n v="117.8"/>
    <n v="128.4"/>
    <n v="137.9"/>
    <n v="126.2"/>
    <n v="127.7"/>
    <n v="136.1"/>
  </r>
  <r>
    <s v="Rural+Urban"/>
    <x v="0"/>
    <x v="10"/>
    <n v="135.69999999999999"/>
    <n v="142.4"/>
    <n v="142.9"/>
    <n v="140.80000000000001"/>
    <n v="119.2"/>
    <n v="142.19999999999999"/>
    <n v="173.8"/>
    <n v="131.19999999999999"/>
    <n v="123"/>
    <n v="136.80000000000001"/>
    <n v="129.19999999999999"/>
    <n v="148.9"/>
    <n v="142.1"/>
    <n v="153.19999999999999"/>
    <n v="143"/>
    <n v="134.80000000000001"/>
    <n v="141.80000000000001"/>
    <n v="138.6"/>
    <n v="135.30000000000001"/>
    <n v="134.4"/>
    <n v="132.6"/>
    <n v="118.3"/>
    <n v="128.9"/>
    <n v="138.6"/>
    <n v="126.8"/>
    <n v="128.4"/>
    <n v="137.6"/>
  </r>
  <r>
    <s v="Rural+Urban"/>
    <x v="0"/>
    <x v="11"/>
    <n v="135.80000000000001"/>
    <n v="143.30000000000001"/>
    <n v="145.19999999999999"/>
    <n v="141"/>
    <n v="120.5"/>
    <n v="141.5"/>
    <n v="161.69999999999999"/>
    <n v="129.1"/>
    <n v="121.5"/>
    <n v="137.1"/>
    <n v="128.80000000000001"/>
    <n v="149"/>
    <n v="140.5"/>
    <n v="154.19999999999999"/>
    <n v="143.1"/>
    <n v="135.1"/>
    <n v="142"/>
    <n v="139.1"/>
    <n v="136.6"/>
    <n v="134.69999999999999"/>
    <n v="133.1"/>
    <n v="118.5"/>
    <n v="129"/>
    <n v="138.5"/>
    <n v="126.5"/>
    <n v="128.6"/>
    <n v="137.19999999999999"/>
  </r>
  <r>
    <s v="Rural+Urban"/>
    <x v="1"/>
    <x v="0"/>
    <n v="136"/>
    <n v="144.19999999999999"/>
    <n v="143.69999999999999"/>
    <n v="141.1"/>
    <n v="120.7"/>
    <n v="141.30000000000001"/>
    <n v="151.6"/>
    <n v="127.3"/>
    <n v="118.8"/>
    <n v="137.5"/>
    <n v="129"/>
    <n v="149.5"/>
    <n v="139.19999999999999"/>
    <n v="154.69999999999999"/>
    <n v="143.5"/>
    <n v="135.5"/>
    <n v="142.30000000000001"/>
    <n v="140.4"/>
    <n v="136.6"/>
    <n v="134.9"/>
    <n v="133.30000000000001"/>
    <n v="119.3"/>
    <n v="129.69999999999999"/>
    <n v="139"/>
    <n v="127.3"/>
    <n v="129.1"/>
    <n v="136.9"/>
  </r>
  <r>
    <s v="Rural+Urban"/>
    <x v="1"/>
    <x v="1"/>
    <n v="135.9"/>
    <n v="143.5"/>
    <n v="140.30000000000001"/>
    <n v="140.9"/>
    <n v="120.4"/>
    <n v="142.9"/>
    <n v="140.5"/>
    <n v="125.8"/>
    <n v="117.1"/>
    <n v="137.30000000000001"/>
    <n v="128.6"/>
    <n v="149.6"/>
    <n v="137.6"/>
    <n v="154.9"/>
    <n v="143.80000000000001"/>
    <n v="135.6"/>
    <n v="142.6"/>
    <n v="141.30000000000001"/>
    <n v="136.69999999999999"/>
    <n v="135.19999999999999"/>
    <n v="133.80000000000001"/>
    <n v="120.2"/>
    <n v="129.9"/>
    <n v="139"/>
    <n v="127.7"/>
    <n v="129.6"/>
    <n v="136.4"/>
  </r>
  <r>
    <s v="Rural+Urban"/>
    <x v="1"/>
    <x v="2"/>
    <n v="136.19999999999999"/>
    <n v="143.6"/>
    <n v="138.30000000000001"/>
    <n v="141.19999999999999"/>
    <n v="120.7"/>
    <n v="146.19999999999999"/>
    <n v="134.6"/>
    <n v="124.6"/>
    <n v="116.1"/>
    <n v="137.80000000000001"/>
    <n v="129.1"/>
    <n v="150.4"/>
    <n v="137.19999999999999"/>
    <n v="156.30000000000001"/>
    <n v="144.30000000000001"/>
    <n v="136.19999999999999"/>
    <n v="143.1"/>
    <n v="142"/>
    <n v="136.5"/>
    <n v="135.6"/>
    <n v="134.30000000000001"/>
    <n v="121"/>
    <n v="130.4"/>
    <n v="139.80000000000001"/>
    <n v="128.19999999999999"/>
    <n v="130.30000000000001"/>
    <n v="136.5"/>
  </r>
  <r>
    <s v="Rural+Urban"/>
    <x v="1"/>
    <x v="3"/>
    <n v="136.4"/>
    <n v="144.4"/>
    <n v="133.9"/>
    <n v="141.6"/>
    <n v="121"/>
    <n v="153.5"/>
    <n v="132.6"/>
    <n v="123.5"/>
    <n v="113.7"/>
    <n v="138.19999999999999"/>
    <n v="129.6"/>
    <n v="151.19999999999999"/>
    <n v="137.5"/>
    <n v="156.9"/>
    <n v="145.30000000000001"/>
    <n v="136.69999999999999"/>
    <n v="144"/>
    <n v="142.9"/>
    <n v="136.5"/>
    <n v="136.6"/>
    <n v="135.19999999999999"/>
    <n v="121.9"/>
    <n v="131.30000000000001"/>
    <n v="141.4"/>
    <n v="129.19999999999999"/>
    <n v="131.30000000000001"/>
    <n v="137.1"/>
  </r>
  <r>
    <s v="Rural+Urban"/>
    <x v="1"/>
    <x v="4"/>
    <n v="136.6"/>
    <n v="146.6"/>
    <n v="133.6"/>
    <n v="142.1"/>
    <n v="121"/>
    <n v="154.6"/>
    <n v="135.6"/>
    <n v="122.3"/>
    <n v="109.6"/>
    <n v="138.1"/>
    <n v="129.9"/>
    <n v="151.69999999999999"/>
    <n v="138.1"/>
    <n v="157.9"/>
    <n v="146"/>
    <n v="137.4"/>
    <n v="144.69999999999999"/>
    <n v="143.19999999999999"/>
    <n v="136.9"/>
    <n v="137.4"/>
    <n v="136"/>
    <n v="122.9"/>
    <n v="131.80000000000001"/>
    <n v="142.1"/>
    <n v="129.9"/>
    <n v="132.1"/>
    <n v="137.80000000000001"/>
  </r>
  <r>
    <s v="Rural+Urban"/>
    <x v="1"/>
    <x v="5"/>
    <n v="136.9"/>
    <n v="148.69999999999999"/>
    <n v="135.6"/>
    <n v="142.30000000000001"/>
    <n v="121.3"/>
    <n v="153.19999999999999"/>
    <n v="143.69999999999999"/>
    <n v="121.4"/>
    <n v="111.1"/>
    <n v="138.4"/>
    <n v="130.30000000000001"/>
    <n v="151.80000000000001"/>
    <n v="139.4"/>
    <n v="158.30000000000001"/>
    <n v="146.4"/>
    <n v="138.1"/>
    <n v="145.19999999999999"/>
    <n v="142.5"/>
    <n v="138.1"/>
    <n v="137.9"/>
    <n v="136.19999999999999"/>
    <n v="123.7"/>
    <n v="132.6"/>
    <n v="142.80000000000001"/>
    <n v="130.1"/>
    <n v="132.6"/>
    <n v="138.5"/>
  </r>
  <r>
    <s v="Rural+Urban"/>
    <x v="1"/>
    <x v="6"/>
    <n v="137.5"/>
    <n v="149.1"/>
    <n v="139.19999999999999"/>
    <n v="142.5"/>
    <n v="121.4"/>
    <n v="151.6"/>
    <n v="155.9"/>
    <n v="121.7"/>
    <n v="113.5"/>
    <n v="138.9"/>
    <n v="130.30000000000001"/>
    <n v="152.30000000000001"/>
    <n v="141.4"/>
    <n v="157.5"/>
    <n v="146.80000000000001"/>
    <n v="138.4"/>
    <n v="145.6"/>
    <n v="143.6"/>
    <n v="139.69999999999999"/>
    <n v="138.6"/>
    <n v="137"/>
    <n v="123.6"/>
    <n v="133.1"/>
    <n v="144.69999999999999"/>
    <n v="130.1"/>
    <n v="133.19999999999999"/>
    <n v="139.80000000000001"/>
  </r>
  <r>
    <s v="Rural+Urban"/>
    <x v="1"/>
    <x v="7"/>
    <n v="138.30000000000001"/>
    <n v="148"/>
    <n v="138.1"/>
    <n v="142.6"/>
    <n v="122.2"/>
    <n v="150.6"/>
    <n v="156.6"/>
    <n v="122.4"/>
    <n v="114.7"/>
    <n v="139.4"/>
    <n v="131.1"/>
    <n v="153"/>
    <n v="141.69999999999999"/>
    <n v="157.9"/>
    <n v="147.30000000000001"/>
    <n v="138.80000000000001"/>
    <n v="146.1"/>
    <n v="144.6"/>
    <n v="140.9"/>
    <n v="139.4"/>
    <n v="137.69999999999999"/>
    <n v="124.3"/>
    <n v="133.6"/>
    <n v="146"/>
    <n v="130.1"/>
    <n v="133.9"/>
    <n v="140.4"/>
  </r>
  <r>
    <s v="Rural+Urban"/>
    <x v="1"/>
    <x v="8"/>
    <n v="138.6"/>
    <n v="145.80000000000001"/>
    <n v="135.1"/>
    <n v="142.9"/>
    <n v="122.1"/>
    <n v="145.4"/>
    <n v="150"/>
    <n v="121.4"/>
    <n v="113.7"/>
    <n v="139.5"/>
    <n v="130.80000000000001"/>
    <n v="153.80000000000001"/>
    <n v="140.4"/>
    <n v="159.19999999999999"/>
    <n v="147.69999999999999"/>
    <n v="139.1"/>
    <n v="146.5"/>
    <n v="145.30000000000001"/>
    <n v="142.30000000000001"/>
    <n v="139.69999999999999"/>
    <n v="138.4"/>
    <n v="126"/>
    <n v="134.5"/>
    <n v="146.19999999999999"/>
    <n v="130.9"/>
    <n v="134.69999999999999"/>
    <n v="140.19999999999999"/>
  </r>
  <r>
    <s v="Rural+Urban"/>
    <x v="1"/>
    <x v="9"/>
    <n v="137.4"/>
    <n v="149.5"/>
    <n v="137.30000000000001"/>
    <n v="141.9"/>
    <n v="121.1"/>
    <n v="142.5"/>
    <n v="146.69999999999999"/>
    <n v="119.1"/>
    <n v="111.9"/>
    <n v="141"/>
    <n v="133.6"/>
    <n v="154.5"/>
    <n v="139.69999999999999"/>
    <n v="162.6"/>
    <n v="148"/>
    <n v="139.19999999999999"/>
    <n v="146.80000000000001"/>
    <n v="146.9"/>
    <n v="145.30000000000001"/>
    <n v="142.19999999999999"/>
    <n v="142.1"/>
    <n v="125.5"/>
    <n v="136.5"/>
    <n v="147.80000000000001"/>
    <n v="132"/>
    <n v="136.30000000000001"/>
    <n v="140.80000000000001"/>
  </r>
  <r>
    <s v="Rural+Urban"/>
    <x v="1"/>
    <x v="10"/>
    <n v="137.4"/>
    <n v="149.19999999999999"/>
    <n v="137.1"/>
    <n v="141.80000000000001"/>
    <n v="121.1"/>
    <n v="142.80000000000001"/>
    <n v="146.69999999999999"/>
    <n v="119.1"/>
    <n v="111.9"/>
    <n v="140.9"/>
    <n v="133.5"/>
    <n v="154.5"/>
    <n v="139.69999999999999"/>
    <n v="162.6"/>
    <n v="148"/>
    <n v="139.1"/>
    <n v="146.69999999999999"/>
    <n v="146.9"/>
    <n v="145.1"/>
    <n v="142.19999999999999"/>
    <n v="142.1"/>
    <n v="125.5"/>
    <n v="136.5"/>
    <n v="147.80000000000001"/>
    <n v="132"/>
    <n v="136.30000000000001"/>
    <n v="140.80000000000001"/>
  </r>
  <r>
    <s v="Rural+Urban"/>
    <x v="1"/>
    <x v="11"/>
    <n v="137.5"/>
    <n v="150.5"/>
    <n v="138.80000000000001"/>
    <n v="142.1"/>
    <n v="122"/>
    <n v="139.4"/>
    <n v="135.19999999999999"/>
    <n v="119.8"/>
    <n v="110.3"/>
    <n v="140.6"/>
    <n v="133.80000000000001"/>
    <n v="154.6"/>
    <n v="138.19999999999999"/>
    <n v="163"/>
    <n v="148.1"/>
    <n v="139.4"/>
    <n v="146.80000000000001"/>
    <n v="146.5"/>
    <n v="142.69999999999999"/>
    <n v="143.19999999999999"/>
    <n v="144.9"/>
    <n v="123.6"/>
    <n v="136.80000000000001"/>
    <n v="150.1"/>
    <n v="132.19999999999999"/>
    <n v="136.80000000000001"/>
    <n v="140.1"/>
  </r>
  <r>
    <s v="Rural+Urban"/>
    <x v="2"/>
    <x v="0"/>
    <n v="137.1"/>
    <n v="151.4"/>
    <n v="140.19999999999999"/>
    <n v="142.1"/>
    <n v="121.8"/>
    <n v="135.4"/>
    <n v="131.30000000000001"/>
    <n v="120.3"/>
    <n v="109.1"/>
    <n v="139.4"/>
    <n v="133.30000000000001"/>
    <n v="154.6"/>
    <n v="137.4"/>
    <n v="163.19999999999999"/>
    <n v="147.6"/>
    <n v="139"/>
    <n v="146.4"/>
    <n v="147.69999999999999"/>
    <n v="139.5"/>
    <n v="143.6"/>
    <n v="145.1"/>
    <n v="123.3"/>
    <n v="136.69999999999999"/>
    <n v="150.19999999999999"/>
    <n v="132.80000000000001"/>
    <n v="136.9"/>
    <n v="139.6"/>
  </r>
  <r>
    <s v="Rural+Urban"/>
    <x v="2"/>
    <x v="1"/>
    <n v="137.6"/>
    <n v="152"/>
    <n v="141.5"/>
    <n v="142.19999999999999"/>
    <n v="122"/>
    <n v="136.4"/>
    <n v="129.69999999999999"/>
    <n v="121"/>
    <n v="109"/>
    <n v="139.69999999999999"/>
    <n v="133.6"/>
    <n v="154.9"/>
    <n v="137.5"/>
    <n v="163.4"/>
    <n v="147.69999999999999"/>
    <n v="139.69999999999999"/>
    <n v="146.5"/>
    <n v="148.5"/>
    <n v="138.4"/>
    <n v="143.69999999999999"/>
    <n v="145.6"/>
    <n v="123.9"/>
    <n v="137.1"/>
    <n v="150.30000000000001"/>
    <n v="134.1"/>
    <n v="137.4"/>
    <n v="139.9"/>
  </r>
  <r>
    <s v="Rural+Urban"/>
    <x v="2"/>
    <x v="2"/>
    <n v="137.80000000000001"/>
    <n v="153"/>
    <n v="140.30000000000001"/>
    <n v="142.30000000000001"/>
    <n v="122"/>
    <n v="137.6"/>
    <n v="132.6"/>
    <n v="121.8"/>
    <n v="109"/>
    <n v="139.5"/>
    <n v="133.69999999999999"/>
    <n v="155.19999999999999"/>
    <n v="138.1"/>
    <n v="163.5"/>
    <n v="147.9"/>
    <n v="139.9"/>
    <n v="146.69999999999999"/>
    <n v="149"/>
    <n v="139.69999999999999"/>
    <n v="143.80000000000001"/>
    <n v="146.19999999999999"/>
    <n v="124.6"/>
    <n v="137.69999999999999"/>
    <n v="150.30000000000001"/>
    <n v="133.4"/>
    <n v="137.69999999999999"/>
    <n v="140.4"/>
  </r>
  <r>
    <s v="Rural+Urban"/>
    <x v="2"/>
    <x v="4"/>
    <n v="138.30000000000001"/>
    <n v="158.5"/>
    <n v="136"/>
    <n v="142.5"/>
    <n v="122"/>
    <n v="146.5"/>
    <n v="143"/>
    <n v="124.9"/>
    <n v="109.9"/>
    <n v="139.9"/>
    <n v="134"/>
    <n v="155.5"/>
    <n v="140.9"/>
    <n v="164.1"/>
    <n v="148.4"/>
    <n v="140.4"/>
    <n v="147.30000000000001"/>
    <n v="150.1"/>
    <n v="140.30000000000001"/>
    <n v="143.69999999999999"/>
    <n v="146.9"/>
    <n v="124.9"/>
    <n v="139.19999999999999"/>
    <n v="151.6"/>
    <n v="133.4"/>
    <n v="138.19999999999999"/>
    <n v="142"/>
  </r>
  <r>
    <s v="Rural+Urban"/>
    <x v="2"/>
    <x v="5"/>
    <n v="138.69999999999999"/>
    <n v="162.1"/>
    <n v="137.80000000000001"/>
    <n v="143.30000000000001"/>
    <n v="122.2"/>
    <n v="146.80000000000001"/>
    <n v="150.5"/>
    <n v="128.30000000000001"/>
    <n v="111"/>
    <n v="140.6"/>
    <n v="134.19999999999999"/>
    <n v="155.9"/>
    <n v="142.69999999999999"/>
    <n v="164.9"/>
    <n v="148.6"/>
    <n v="140.4"/>
    <n v="147.4"/>
    <n v="149.4"/>
    <n v="141.19999999999999"/>
    <n v="143.80000000000001"/>
    <n v="147.4"/>
    <n v="124.6"/>
    <n v="139.6"/>
    <n v="152.5"/>
    <n v="134.30000000000001"/>
    <n v="138.6"/>
    <n v="142.9"/>
  </r>
  <r>
    <s v="Rural+Urban"/>
    <x v="2"/>
    <x v="6"/>
    <n v="139.30000000000001"/>
    <n v="162.69999999999999"/>
    <n v="140"/>
    <n v="144"/>
    <n v="122.5"/>
    <n v="150.30000000000001"/>
    <n v="160.30000000000001"/>
    <n v="130"/>
    <n v="111.1"/>
    <n v="141.69999999999999"/>
    <n v="134.69999999999999"/>
    <n v="156.19999999999999"/>
    <n v="144.69999999999999"/>
    <n v="165.2"/>
    <n v="148.9"/>
    <n v="140.5"/>
    <n v="147.6"/>
    <n v="150.6"/>
    <n v="139.30000000000001"/>
    <n v="144.19999999999999"/>
    <n v="147.9"/>
    <n v="125.6"/>
    <n v="140.5"/>
    <n v="154"/>
    <n v="135.69999999999999"/>
    <n v="139.5"/>
    <n v="144.19999999999999"/>
  </r>
  <r>
    <s v="Rural+Urban"/>
    <x v="2"/>
    <x v="7"/>
    <n v="140.1"/>
    <n v="160.6"/>
    <n v="138.5"/>
    <n v="144.69999999999999"/>
    <n v="122.9"/>
    <n v="149.4"/>
    <n v="167.4"/>
    <n v="130.9"/>
    <n v="112"/>
    <n v="142.6"/>
    <n v="134.9"/>
    <n v="156.6"/>
    <n v="145.9"/>
    <n v="165.8"/>
    <n v="149.1"/>
    <n v="140.6"/>
    <n v="147.9"/>
    <n v="151.6"/>
    <n v="138.5"/>
    <n v="144.5"/>
    <n v="148.5"/>
    <n v="125.8"/>
    <n v="140.9"/>
    <n v="154.9"/>
    <n v="138.4"/>
    <n v="140.19999999999999"/>
    <n v="145"/>
  </r>
  <r>
    <s v="Rural+Urban"/>
    <x v="2"/>
    <x v="8"/>
    <n v="140.9"/>
    <n v="160.80000000000001"/>
    <n v="139.6"/>
    <n v="145.4"/>
    <n v="123.5"/>
    <n v="146.6"/>
    <n v="173.2"/>
    <n v="131.6"/>
    <n v="113.2"/>
    <n v="144.1"/>
    <n v="135"/>
    <n v="156.80000000000001"/>
    <n v="147"/>
    <n v="166.5"/>
    <n v="149.19999999999999"/>
    <n v="140.6"/>
    <n v="147.9"/>
    <n v="152.19999999999999"/>
    <n v="139.19999999999999"/>
    <n v="144.6"/>
    <n v="149"/>
    <n v="126.1"/>
    <n v="141.30000000000001"/>
    <n v="155.19999999999999"/>
    <n v="139.69999999999999"/>
    <n v="140.69999999999999"/>
    <n v="145.80000000000001"/>
  </r>
  <r>
    <s v="Rural+Urban"/>
    <x v="2"/>
    <x v="9"/>
    <n v="141.80000000000001"/>
    <n v="161"/>
    <n v="142.6"/>
    <n v="146.19999999999999"/>
    <n v="123.9"/>
    <n v="148"/>
    <n v="188.4"/>
    <n v="132.5"/>
    <n v="114"/>
    <n v="145.4"/>
    <n v="135.1"/>
    <n v="157.1"/>
    <n v="149.6"/>
    <n v="167.1"/>
    <n v="149.4"/>
    <n v="140.80000000000001"/>
    <n v="148.19999999999999"/>
    <n v="153"/>
    <n v="140.6"/>
    <n v="145"/>
    <n v="149.4"/>
    <n v="126.3"/>
    <n v="141.69999999999999"/>
    <n v="155.4"/>
    <n v="140"/>
    <n v="141"/>
    <n v="147.19999999999999"/>
  </r>
  <r>
    <s v="Rural+Urban"/>
    <x v="2"/>
    <x v="10"/>
    <n v="142.5"/>
    <n v="163.19999999999999"/>
    <n v="145.6"/>
    <n v="146.69999999999999"/>
    <n v="124.3"/>
    <n v="147.4"/>
    <n v="199.6"/>
    <n v="135.69999999999999"/>
    <n v="114.2"/>
    <n v="147"/>
    <n v="135.30000000000001"/>
    <n v="157.5"/>
    <n v="151.9"/>
    <n v="167.9"/>
    <n v="149.9"/>
    <n v="141"/>
    <n v="148.6"/>
    <n v="153.5"/>
    <n v="142.30000000000001"/>
    <n v="145.30000000000001"/>
    <n v="149.9"/>
    <n v="126.6"/>
    <n v="142.1"/>
    <n v="155.5"/>
    <n v="140.30000000000001"/>
    <n v="141.30000000000001"/>
    <n v="148.6"/>
  </r>
  <r>
    <s v="Rural+Urban"/>
    <x v="2"/>
    <x v="11"/>
    <n v="143.5"/>
    <n v="165"/>
    <n v="151.1"/>
    <n v="148.30000000000001"/>
    <n v="125.7"/>
    <n v="145.69999999999999"/>
    <n v="217"/>
    <n v="138.30000000000001"/>
    <n v="114"/>
    <n v="148.69999999999999"/>
    <n v="135.80000000000001"/>
    <n v="158"/>
    <n v="155"/>
    <n v="168.5"/>
    <n v="150.30000000000001"/>
    <n v="141.30000000000001"/>
    <n v="149"/>
    <n v="152.80000000000001"/>
    <n v="143.69999999999999"/>
    <n v="145.80000000000001"/>
    <n v="150.4"/>
    <n v="129.80000000000001"/>
    <n v="142.30000000000001"/>
    <n v="155.69999999999999"/>
    <n v="140.4"/>
    <n v="142.5"/>
    <n v="150.4"/>
  </r>
  <r>
    <s v="Rural+Urban"/>
    <x v="3"/>
    <x v="0"/>
    <n v="144.30000000000001"/>
    <n v="167.4"/>
    <n v="154.9"/>
    <n v="150.1"/>
    <n v="129.9"/>
    <n v="143.19999999999999"/>
    <n v="197"/>
    <n v="140.4"/>
    <n v="114.1"/>
    <n v="150.9"/>
    <n v="136.1"/>
    <n v="158.6"/>
    <n v="153.5"/>
    <n v="169.2"/>
    <n v="150.5"/>
    <n v="141.5"/>
    <n v="149.19999999999999"/>
    <n v="153.9"/>
    <n v="144.6"/>
    <n v="146.19999999999999"/>
    <n v="151.19999999999999"/>
    <n v="130.9"/>
    <n v="142.80000000000001"/>
    <n v="156.1"/>
    <n v="142.30000000000001"/>
    <n v="143.4"/>
    <n v="150.19999999999999"/>
  </r>
  <r>
    <s v="Rural+Urban"/>
    <x v="3"/>
    <x v="1"/>
    <n v="144.80000000000001"/>
    <n v="167.5"/>
    <n v="151.80000000000001"/>
    <n v="150.80000000000001"/>
    <n v="131.4"/>
    <n v="141.80000000000001"/>
    <n v="170.7"/>
    <n v="141.1"/>
    <n v="113.6"/>
    <n v="152"/>
    <n v="136.5"/>
    <n v="159.1"/>
    <n v="150.5"/>
    <n v="170.1"/>
    <n v="150.80000000000001"/>
    <n v="141.69999999999999"/>
    <n v="149.5"/>
    <n v="154.80000000000001"/>
    <n v="147.19999999999999"/>
    <n v="146.4"/>
    <n v="151.69999999999999"/>
    <n v="130.30000000000001"/>
    <n v="143.19999999999999"/>
    <n v="156.19999999999999"/>
    <n v="143.4"/>
    <n v="143.6"/>
    <n v="149.1"/>
  </r>
  <r>
    <s v="Rural+Urban"/>
    <x v="3"/>
    <x v="2"/>
    <n v="145.1"/>
    <n v="167"/>
    <n v="148.1"/>
    <n v="151.5"/>
    <n v="131.19999999999999"/>
    <n v="142.5"/>
    <n v="157.30000000000001"/>
    <n v="141.1"/>
    <n v="113.2"/>
    <n v="153.19999999999999"/>
    <n v="136.69999999999999"/>
    <n v="159.6"/>
    <n v="148.9"/>
    <n v="171.2"/>
    <n v="151.19999999999999"/>
    <n v="141.9"/>
    <n v="149.80000000000001"/>
    <n v="154.5"/>
    <n v="148.9"/>
    <n v="146.4"/>
    <n v="152.30000000000001"/>
    <n v="129.9"/>
    <n v="143.69999999999999"/>
    <n v="156.1"/>
    <n v="145.19999999999999"/>
    <n v="143.80000000000001"/>
    <n v="148.6"/>
  </r>
  <r>
    <s v="Rural+Urban"/>
    <x v="3"/>
    <x v="3"/>
    <n v="148.69999999999999"/>
    <s v="NA"/>
    <n v="148.80000000000001"/>
    <n v="155.6"/>
    <n v="135.1"/>
    <n v="149.9"/>
    <n v="168.6"/>
    <n v="150.4"/>
    <n v="120.3"/>
    <n v="157.1"/>
    <n v="136.80000000000001"/>
    <s v="NA"/>
    <n v="151.4"/>
    <s v="NA"/>
    <s v="NA"/>
    <s v="NA"/>
    <s v="NA"/>
    <n v="155.6"/>
    <n v="144.1"/>
    <s v="NA"/>
    <n v="150.69999999999999"/>
    <s v="NA"/>
    <s v="NA"/>
    <s v="NA"/>
    <s v="NA"/>
    <s v="NA"/>
    <s v="NA"/>
  </r>
  <r>
    <s v="Rural+Urban"/>
    <x v="3"/>
    <x v="4"/>
    <s v="NA"/>
    <s v="NA"/>
    <s v="NA"/>
    <s v="NA"/>
    <s v="NA"/>
    <s v="NA"/>
    <s v="NA"/>
    <s v="NA"/>
    <s v="NA"/>
    <s v="NA"/>
    <s v="NA"/>
    <s v="NA"/>
    <s v="NA"/>
    <s v="NA"/>
    <s v="NA"/>
    <s v="NA"/>
    <s v="NA"/>
    <s v="NA"/>
    <s v="NA"/>
    <s v="NA"/>
    <s v="NA"/>
    <s v="NA"/>
    <s v="NA"/>
    <s v="NA"/>
    <s v="NA"/>
    <s v="NA"/>
    <s v="NA"/>
  </r>
  <r>
    <s v="Rural+Urban"/>
    <x v="3"/>
    <x v="5"/>
    <n v="149.6"/>
    <n v="192.7"/>
    <n v="151.4"/>
    <n v="153.30000000000001"/>
    <n v="136.30000000000001"/>
    <n v="147.19999999999999"/>
    <n v="156.5"/>
    <n v="150.9"/>
    <n v="114.2"/>
    <n v="159.5"/>
    <n v="139.4"/>
    <n v="161.80000000000001"/>
    <n v="154"/>
    <n v="183.5"/>
    <n v="152.5"/>
    <n v="144.4"/>
    <n v="151.4"/>
    <n v="154.69999999999999"/>
    <n v="141.9"/>
    <n v="146.4"/>
    <n v="154.4"/>
    <n v="135"/>
    <n v="148.30000000000001"/>
    <n v="156.4"/>
    <n v="151.6"/>
    <n v="147"/>
    <n v="151.80000000000001"/>
  </r>
  <r>
    <s v="Rural+Urban"/>
    <x v="3"/>
    <x v="6"/>
    <n v="149.6"/>
    <n v="192.7"/>
    <n v="151.4"/>
    <n v="153.30000000000001"/>
    <n v="136.30000000000001"/>
    <n v="147.19999999999999"/>
    <n v="156.5"/>
    <n v="150.9"/>
    <n v="114.2"/>
    <n v="159.5"/>
    <n v="139.4"/>
    <n v="161.80000000000001"/>
    <n v="154"/>
    <n v="183.5"/>
    <n v="152.5"/>
    <n v="144.4"/>
    <n v="151.4"/>
    <n v="154.69999999999999"/>
    <n v="141.9"/>
    <n v="146.4"/>
    <n v="154.4"/>
    <n v="135"/>
    <n v="148.30000000000001"/>
    <n v="156.4"/>
    <n v="151.6"/>
    <n v="147"/>
    <n v="151.80000000000001"/>
  </r>
  <r>
    <s v="Rural+Urban"/>
    <x v="3"/>
    <x v="7"/>
    <n v="148.9"/>
    <n v="190.9"/>
    <n v="150.80000000000001"/>
    <n v="153.30000000000001"/>
    <n v="137.4"/>
    <n v="150.4"/>
    <n v="178.1"/>
    <n v="150.4"/>
    <n v="115.1"/>
    <n v="160"/>
    <n v="140.6"/>
    <n v="162.30000000000001"/>
    <n v="157"/>
    <n v="182.6"/>
    <n v="153.1"/>
    <n v="143.4"/>
    <n v="151.69999999999999"/>
    <n v="155.5"/>
    <n v="143"/>
    <n v="148.4"/>
    <n v="155"/>
    <n v="138.5"/>
    <n v="146"/>
    <n v="158.5"/>
    <n v="154.30000000000001"/>
    <n v="149"/>
    <n v="153.9"/>
  </r>
  <r>
    <s v="Rural+Urban"/>
    <x v="3"/>
    <x v="8"/>
    <n v="148.4"/>
    <n v="187.1"/>
    <n v="152.5"/>
    <n v="153.6"/>
    <n v="138.19999999999999"/>
    <n v="150.9"/>
    <n v="186.7"/>
    <n v="149.80000000000001"/>
    <n v="116.4"/>
    <n v="160.30000000000001"/>
    <n v="142.19999999999999"/>
    <n v="162.9"/>
    <n v="158"/>
    <n v="184.4"/>
    <n v="153.4"/>
    <n v="144.30000000000001"/>
    <n v="152"/>
    <n v="156.30000000000001"/>
    <n v="142.9"/>
    <n v="148.69999999999999"/>
    <n v="155.6"/>
    <n v="139.6"/>
    <n v="146.6"/>
    <n v="157.5"/>
    <n v="158.4"/>
    <n v="150"/>
    <n v="154.69999999999999"/>
  </r>
  <r>
    <s v="Rural+Urban"/>
    <x v="3"/>
    <x v="9"/>
    <n v="147.5"/>
    <n v="188.9"/>
    <n v="161.4"/>
    <n v="153.6"/>
    <n v="140.1"/>
    <n v="151.19999999999999"/>
    <n v="209.2"/>
    <n v="150.9"/>
    <n v="116.2"/>
    <n v="161"/>
    <n v="144"/>
    <n v="163.19999999999999"/>
    <n v="161.4"/>
    <n v="184.3"/>
    <n v="153.69999999999999"/>
    <n v="144.6"/>
    <n v="152.30000000000001"/>
    <n v="156.5"/>
    <n v="143.1"/>
    <n v="148.69999999999999"/>
    <n v="156.30000000000001"/>
    <n v="140.6"/>
    <n v="146.5"/>
    <n v="158.5"/>
    <n v="157"/>
    <n v="150.4"/>
    <n v="156.4"/>
  </r>
  <r>
    <s v="Rural+Urban"/>
    <x v="3"/>
    <x v="10"/>
    <n v="146.80000000000001"/>
    <n v="191"/>
    <n v="173.6"/>
    <n v="153.80000000000001"/>
    <n v="142.69999999999999"/>
    <n v="148.4"/>
    <n v="230"/>
    <n v="156.80000000000001"/>
    <n v="115.7"/>
    <n v="161.80000000000001"/>
    <n v="146.5"/>
    <n v="163.80000000000001"/>
    <n v="164.7"/>
    <n v="184.8"/>
    <n v="154.30000000000001"/>
    <n v="144.9"/>
    <n v="152.80000000000001"/>
    <n v="158"/>
    <n v="143.6"/>
    <n v="149.19999999999999"/>
    <n v="157.19999999999999"/>
    <n v="140.4"/>
    <n v="148.4"/>
    <n v="158.6"/>
    <n v="156.9"/>
    <n v="150.69999999999999"/>
    <n v="158.4"/>
  </r>
  <r>
    <s v="Rural+Urban"/>
    <x v="3"/>
    <x v="11"/>
    <n v="146"/>
    <n v="191"/>
    <n v="175.3"/>
    <n v="154.1"/>
    <n v="146.6"/>
    <n v="147.69999999999999"/>
    <n v="230.5"/>
    <n v="160.19999999999999"/>
    <n v="115.3"/>
    <n v="163"/>
    <n v="149.19999999999999"/>
    <n v="164.8"/>
    <n v="165.4"/>
    <n v="185.4"/>
    <n v="155"/>
    <n v="145.4"/>
    <n v="153.6"/>
    <n v="158.4"/>
    <n v="144.6"/>
    <n v="149.69999999999999"/>
    <n v="158.30000000000001"/>
    <n v="140.69999999999999"/>
    <n v="148.5"/>
    <n v="159.4"/>
    <n v="157.1"/>
    <n v="151.19999999999999"/>
    <n v="158.9"/>
  </r>
  <r>
    <s v="Rural+Urban"/>
    <x v="4"/>
    <x v="0"/>
    <n v="144.9"/>
    <n v="190.1"/>
    <n v="175.3"/>
    <n v="154.1"/>
    <n v="150.9"/>
    <n v="149.6"/>
    <n v="194.2"/>
    <n v="160.4"/>
    <n v="114.6"/>
    <n v="164"/>
    <n v="151.80000000000001"/>
    <n v="165.6"/>
    <n v="161"/>
    <n v="186.5"/>
    <n v="155.5"/>
    <n v="146.1"/>
    <n v="154.19999999999999"/>
    <n v="157.69999999999999"/>
    <n v="147.9"/>
    <n v="150"/>
    <n v="159.30000000000001"/>
    <n v="141.9"/>
    <n v="149.6"/>
    <n v="159.19999999999999"/>
    <n v="156.80000000000001"/>
    <n v="151.9"/>
    <n v="157.30000000000001"/>
  </r>
  <r>
    <s v="Rural+Urban"/>
    <x v="4"/>
    <x v="1"/>
    <n v="144.30000000000001"/>
    <n v="186.5"/>
    <n v="168.7"/>
    <n v="154.69999999999999"/>
    <n v="158.69999999999999"/>
    <n v="150.69999999999999"/>
    <n v="160"/>
    <n v="158.80000000000001"/>
    <n v="112.8"/>
    <n v="164.2"/>
    <n v="155.5"/>
    <n v="167.5"/>
    <n v="156.9"/>
    <n v="188.3"/>
    <n v="157.19999999999999"/>
    <n v="147.4"/>
    <n v="155.80000000000001"/>
    <n v="159.80000000000001"/>
    <n v="152.4"/>
    <n v="150.9"/>
    <n v="161.30000000000001"/>
    <n v="145.1"/>
    <n v="151.5"/>
    <n v="159.5"/>
    <n v="155.80000000000001"/>
    <n v="153.4"/>
    <n v="156.6"/>
  </r>
  <r>
    <s v="Rural+Urban"/>
    <x v="4"/>
    <x v="2"/>
    <n v="144.1"/>
    <n v="192.2"/>
    <n v="163.80000000000001"/>
    <n v="154.9"/>
    <n v="163.9"/>
    <n v="153.69999999999999"/>
    <n v="149.5"/>
    <n v="159.80000000000001"/>
    <n v="112.6"/>
    <n v="163.5"/>
    <n v="156.5"/>
    <n v="168.2"/>
    <n v="156.69999999999999"/>
    <n v="188.1"/>
    <n v="157.80000000000001"/>
    <n v="147.9"/>
    <n v="156.4"/>
    <n v="159.9"/>
    <n v="155.5"/>
    <n v="151.19999999999999"/>
    <n v="161.69999999999999"/>
    <n v="146.19999999999999"/>
    <n v="152.6"/>
    <n v="160.19999999999999"/>
    <n v="153.80000000000001"/>
    <n v="153.80000000000001"/>
    <n v="156.80000000000001"/>
  </r>
  <r>
    <s v="Rural+Urban"/>
    <x v="4"/>
    <x v="3"/>
    <n v="144.30000000000001"/>
    <n v="198"/>
    <n v="164.6"/>
    <n v="155.4"/>
    <n v="170.1"/>
    <n v="164.4"/>
    <n v="144.1"/>
    <n v="161.69999999999999"/>
    <n v="113.1"/>
    <n v="163.9"/>
    <n v="157.6"/>
    <n v="168.9"/>
    <n v="158"/>
    <n v="188.8"/>
    <n v="158.80000000000001"/>
    <n v="148.5"/>
    <n v="157.30000000000001"/>
    <n v="161.4"/>
    <n v="155.6"/>
    <n v="151.80000000000001"/>
    <n v="162.30000000000001"/>
    <n v="146.6"/>
    <n v="153.19999999999999"/>
    <n v="160.30000000000001"/>
    <n v="155.4"/>
    <n v="154.4"/>
    <n v="157.80000000000001"/>
  </r>
  <r>
    <s v="Rural+Urban"/>
    <x v="4"/>
    <x v="4"/>
    <n v="146.30000000000001"/>
    <n v="200.5"/>
    <n v="170.3"/>
    <n v="156.1"/>
    <n v="178.7"/>
    <n v="167.1"/>
    <n v="147.9"/>
    <n v="165.4"/>
    <n v="114.8"/>
    <n v="168.2"/>
    <n v="159.30000000000001"/>
    <n v="170.4"/>
    <n v="160.69999999999999"/>
    <n v="191.9"/>
    <n v="161.80000000000001"/>
    <n v="152.1"/>
    <n v="160.4"/>
    <n v="161.6"/>
    <n v="159.4"/>
    <n v="154.69999999999999"/>
    <n v="165.8"/>
    <n v="148.9"/>
    <n v="155.80000000000001"/>
    <n v="161.19999999999999"/>
    <n v="158.6"/>
    <n v="156.80000000000001"/>
    <n v="160.4"/>
  </r>
  <r>
    <s v="Rural+Urban"/>
    <x v="4"/>
    <x v="5"/>
    <n v="146.69999999999999"/>
    <n v="202"/>
    <n v="180.7"/>
    <n v="156.19999999999999"/>
    <n v="183.7"/>
    <n v="164.6"/>
    <n v="155.4"/>
    <n v="166"/>
    <n v="115.1"/>
    <n v="168.5"/>
    <n v="160"/>
    <n v="172.4"/>
    <n v="162.6"/>
    <n v="190.8"/>
    <n v="162.19999999999999"/>
    <n v="151.80000000000001"/>
    <n v="160.69999999999999"/>
    <n v="160.5"/>
    <n v="159.80000000000001"/>
    <n v="154.80000000000001"/>
    <n v="166.3"/>
    <n v="150.69999999999999"/>
    <n v="154.9"/>
    <n v="161.69999999999999"/>
    <n v="158.80000000000001"/>
    <n v="157.6"/>
    <n v="161.30000000000001"/>
  </r>
  <r>
    <s v="Rural+Urban"/>
    <x v="4"/>
    <x v="6"/>
    <n v="146.4"/>
    <n v="206.8"/>
    <n v="182.2"/>
    <n v="157.5"/>
    <n v="182.1"/>
    <n v="163.9"/>
    <n v="164.2"/>
    <n v="164"/>
    <n v="114.5"/>
    <n v="168.3"/>
    <n v="160.9"/>
    <n v="172.2"/>
    <n v="164"/>
    <n v="191.2"/>
    <n v="162.80000000000001"/>
    <n v="153.1"/>
    <n v="161.4"/>
    <n v="161.5"/>
    <n v="160.69999999999999"/>
    <n v="155.80000000000001"/>
    <n v="167"/>
    <n v="153.1"/>
    <n v="155.30000000000001"/>
    <n v="163.19999999999999"/>
    <n v="160.1"/>
    <n v="159"/>
    <n v="162.5"/>
  </r>
  <r>
    <s v="Rural+Urban"/>
    <x v="4"/>
    <x v="7"/>
    <n v="146.6"/>
    <n v="204"/>
    <n v="172.8"/>
    <n v="158.4"/>
    <n v="188"/>
    <n v="156.80000000000001"/>
    <n v="162.19999999999999"/>
    <n v="164.1"/>
    <n v="119.7"/>
    <n v="168.8"/>
    <n v="162.69999999999999"/>
    <n v="173.9"/>
    <n v="164"/>
    <n v="192.1"/>
    <n v="164.5"/>
    <n v="155.30000000000001"/>
    <n v="163.19999999999999"/>
    <n v="162.1"/>
    <n v="162.6"/>
    <n v="157.5"/>
    <n v="168.4"/>
    <n v="154"/>
    <n v="157.6"/>
    <n v="163.80000000000001"/>
    <n v="160"/>
    <n v="160"/>
    <n v="163.19999999999999"/>
  </r>
  <r>
    <s v="Rural+Urban"/>
    <x v="4"/>
    <x v="8"/>
    <n v="146.6"/>
    <n v="204"/>
    <n v="172.8"/>
    <n v="158.4"/>
    <n v="188"/>
    <n v="156.69999999999999"/>
    <n v="162.30000000000001"/>
    <n v="164.1"/>
    <n v="119.7"/>
    <n v="168.8"/>
    <n v="162.69999999999999"/>
    <n v="173.9"/>
    <n v="164"/>
    <n v="192.1"/>
    <n v="164.6"/>
    <n v="155.30000000000001"/>
    <n v="163.30000000000001"/>
    <n v="162.1"/>
    <n v="162.6"/>
    <n v="157.5"/>
    <n v="168.4"/>
    <n v="154"/>
    <n v="157.69999999999999"/>
    <n v="163.69999999999999"/>
    <n v="160"/>
    <n v="160"/>
    <n v="163.19999999999999"/>
  </r>
  <r>
    <s v="Rural+Urban"/>
    <x v="4"/>
    <x v="9"/>
    <n v="147.4"/>
    <n v="204.6"/>
    <n v="171.2"/>
    <n v="158.69999999999999"/>
    <n v="190.6"/>
    <n v="155.69999999999999"/>
    <n v="185.3"/>
    <n v="165.2"/>
    <n v="121.9"/>
    <n v="169.3"/>
    <n v="163.19999999999999"/>
    <n v="174.7"/>
    <n v="167.7"/>
    <n v="192.7"/>
    <n v="165.7"/>
    <n v="156.30000000000001"/>
    <n v="164.3"/>
    <n v="163.6"/>
    <n v="164.2"/>
    <n v="158.4"/>
    <n v="169.1"/>
    <n v="155.69999999999999"/>
    <n v="158.6"/>
    <n v="163.9"/>
    <n v="160.80000000000001"/>
    <n v="161"/>
    <n v="165.5"/>
  </r>
  <r>
    <s v="Rural+Urban"/>
    <x v="4"/>
    <x v="10"/>
    <n v="148.19999999999999"/>
    <n v="201.6"/>
    <n v="173"/>
    <n v="159.30000000000001"/>
    <n v="190.1"/>
    <n v="156.5"/>
    <n v="199.2"/>
    <n v="165.3"/>
    <n v="122.4"/>
    <n v="169.6"/>
    <n v="163.69999999999999"/>
    <n v="175.5"/>
    <n v="169.7"/>
    <n v="192.9"/>
    <n v="167.2"/>
    <n v="157.4"/>
    <n v="165.8"/>
    <n v="164.2"/>
    <n v="163.9"/>
    <n v="159.30000000000001"/>
    <n v="169.9"/>
    <n v="154.80000000000001"/>
    <n v="159.80000000000001"/>
    <n v="164.3"/>
    <n v="162.19999999999999"/>
    <n v="161.4"/>
    <n v="166.7"/>
  </r>
  <r>
    <s v="Rural+Urban"/>
    <x v="4"/>
    <x v="11"/>
    <n v="148.69999999999999"/>
    <n v="198.8"/>
    <n v="177.9"/>
    <n v="159.9"/>
    <n v="187.6"/>
    <n v="154.9"/>
    <n v="188.3"/>
    <n v="164.4"/>
    <n v="121"/>
    <n v="170.5"/>
    <n v="164.2"/>
    <n v="176.5"/>
    <n v="168.2"/>
    <n v="192.4"/>
    <n v="168.5"/>
    <n v="158.69999999999999"/>
    <n v="167"/>
    <n v="163.4"/>
    <n v="164.1"/>
    <n v="160.19999999999999"/>
    <n v="170.6"/>
    <n v="155.69999999999999"/>
    <n v="160.6"/>
    <n v="164.4"/>
    <n v="162.6"/>
    <n v="162"/>
    <n v="166.2"/>
  </r>
  <r>
    <s v="Rural+Urban"/>
    <x v="5"/>
    <x v="0"/>
    <n v="149.5"/>
    <n v="198.7"/>
    <n v="178.8"/>
    <n v="160.5"/>
    <n v="184.7"/>
    <n v="153.69999999999999"/>
    <n v="174.3"/>
    <n v="163.9"/>
    <n v="120"/>
    <n v="172.1"/>
    <n v="164.3"/>
    <n v="177.3"/>
    <n v="166.4"/>
    <n v="192.2"/>
    <n v="169.9"/>
    <n v="160.69999999999999"/>
    <n v="168.5"/>
    <n v="164.5"/>
    <n v="164.2"/>
    <n v="161.1"/>
    <n v="171.4"/>
    <n v="156.5"/>
    <n v="161.19999999999999"/>
    <n v="164.7"/>
    <n v="163"/>
    <n v="162.69999999999999"/>
    <n v="165.7"/>
  </r>
  <r>
    <s v="Rural+Urban"/>
    <x v="5"/>
    <x v="1"/>
    <n v="150"/>
    <n v="200.6"/>
    <n v="175.8"/>
    <n v="160.69999999999999"/>
    <n v="184.9"/>
    <n v="153.69999999999999"/>
    <n v="169.7"/>
    <n v="163.69999999999999"/>
    <n v="118.9"/>
    <n v="174.3"/>
    <n v="164.7"/>
    <n v="178"/>
    <n v="166.2"/>
    <n v="192.8"/>
    <n v="170.8"/>
    <n v="162.4"/>
    <n v="169.6"/>
    <n v="165.5"/>
    <n v="165.7"/>
    <n v="161.80000000000001"/>
    <n v="172.2"/>
    <n v="156.9"/>
    <n v="162.1"/>
    <n v="165.4"/>
    <n v="164.4"/>
    <n v="163.5"/>
    <n v="166.1"/>
  </r>
  <r>
    <s v="Rural+Urban"/>
    <x v="5"/>
    <x v="2"/>
    <n v="151.30000000000001"/>
    <n v="210.7"/>
    <n v="167.8"/>
    <n v="162.19999999999999"/>
    <n v="194.6"/>
    <n v="157.6"/>
    <n v="166.9"/>
    <n v="163.9"/>
    <n v="118.8"/>
    <n v="177.4"/>
    <n v="165.3"/>
    <n v="179.3"/>
    <n v="168.4"/>
    <n v="193.7"/>
    <n v="172.1"/>
    <n v="164.6"/>
    <n v="171.1"/>
    <n v="165.3"/>
    <n v="167.2"/>
    <n v="162.80000000000001"/>
    <n v="173"/>
    <n v="157.9"/>
    <n v="163.30000000000001"/>
    <n v="166"/>
    <n v="167.2"/>
    <n v="164.6"/>
    <n v="167.7"/>
  </r>
  <r>
    <s v="Rural+Urban"/>
    <x v="5"/>
    <x v="3"/>
    <n v="152.9"/>
    <n v="211.8"/>
    <n v="164.5"/>
    <n v="163.9"/>
    <n v="199.5"/>
    <n v="172.6"/>
    <n v="166.2"/>
    <n v="164.7"/>
    <n v="119"/>
    <n v="181.3"/>
    <n v="166.2"/>
    <n v="180.9"/>
    <n v="170.8"/>
    <n v="193.9"/>
    <n v="173.9"/>
    <n v="166.5"/>
    <n v="172.8"/>
    <n v="167"/>
    <n v="172.2"/>
    <n v="164"/>
    <n v="174"/>
    <n v="162.6"/>
    <n v="164.4"/>
    <n v="166.9"/>
    <n v="168.8"/>
    <n v="166.8"/>
    <n v="170.1"/>
  </r>
  <r>
    <s v="Rural+Urban"/>
    <x v="5"/>
    <x v="4"/>
    <n v="154.1"/>
    <n v="217"/>
    <n v="162.4"/>
    <n v="164.9"/>
    <n v="202.4"/>
    <n v="171"/>
    <n v="174.9"/>
    <n v="164.7"/>
    <n v="119.7"/>
    <n v="184.9"/>
    <n v="167.1"/>
    <n v="182.5"/>
    <n v="173.3"/>
    <n v="194.1"/>
    <n v="175.6"/>
    <n v="168.4"/>
    <n v="174.6"/>
    <n v="167.5"/>
    <n v="174.6"/>
    <n v="165.2"/>
    <n v="174.8"/>
    <n v="163"/>
    <n v="165.1"/>
    <n v="167.9"/>
    <n v="168.4"/>
    <n v="167.5"/>
    <n v="171.7"/>
  </r>
  <r>
    <s v="Rural+Urban"/>
    <x v="5"/>
    <x v="5"/>
    <n v="155"/>
    <n v="219.4"/>
    <n v="170.8"/>
    <n v="165.8"/>
    <n v="200.9"/>
    <n v="169.7"/>
    <n v="182.3"/>
    <n v="164.3"/>
    <n v="119.9"/>
    <n v="187.1"/>
    <n v="167.9"/>
    <n v="183.9"/>
    <n v="174.9"/>
    <n v="194.3"/>
    <n v="177.1"/>
    <n v="169.9"/>
    <n v="176"/>
    <n v="166.8"/>
    <n v="176"/>
    <n v="166.4"/>
    <n v="175.4"/>
    <n v="161.1"/>
    <n v="165.8"/>
    <n v="169"/>
    <n v="169.4"/>
    <n v="167.5"/>
    <n v="172.6"/>
  </r>
  <r>
    <s v="Rural+Urban"/>
    <x v="5"/>
    <x v="6"/>
    <n v="156.5"/>
    <n v="213"/>
    <n v="175.2"/>
    <n v="166.6"/>
    <n v="195.8"/>
    <n v="174.2"/>
    <n v="182.1"/>
    <n v="164.3"/>
    <n v="120"/>
    <n v="190"/>
    <n v="168.4"/>
    <n v="185.2"/>
    <n v="175"/>
    <n v="194.6"/>
    <n v="178.3"/>
    <n v="171.3"/>
    <n v="177.3"/>
    <n v="167.8"/>
    <n v="179.6"/>
    <n v="167.4"/>
    <n v="176.1"/>
    <n v="161.6"/>
    <n v="166.3"/>
    <n v="171.4"/>
    <n v="169.7"/>
    <n v="168.4"/>
    <n v="173.4"/>
  </r>
  <r>
    <s v="Rural+Urban"/>
    <x v="5"/>
    <x v="7"/>
    <n v="160.30000000000001"/>
    <n v="206.5"/>
    <n v="169.2"/>
    <n v="168.1"/>
    <n v="192.4"/>
    <n v="172.9"/>
    <n v="186.7"/>
    <n v="167.2"/>
    <n v="120.9"/>
    <n v="193.6"/>
    <n v="168.8"/>
    <n v="186.3"/>
    <n v="176.3"/>
    <n v="195"/>
    <n v="179.5"/>
    <n v="172.7"/>
    <n v="178.5"/>
    <n v="169"/>
    <n v="178.8"/>
    <n v="168.5"/>
    <n v="176.8"/>
    <n v="161.9"/>
    <n v="166.9"/>
    <n v="172.3"/>
    <n v="171.2"/>
    <n v="169.1"/>
    <n v="174.3"/>
  </r>
  <r>
    <s v="Rural+Urban"/>
    <x v="5"/>
    <x v="8"/>
    <n v="163.5"/>
    <n v="209.2"/>
    <n v="169.7"/>
    <n v="169.7"/>
    <n v="188.7"/>
    <n v="165.7"/>
    <n v="191.8"/>
    <n v="169.1"/>
    <n v="121.6"/>
    <n v="197.3"/>
    <n v="169.4"/>
    <n v="187.4"/>
    <n v="177.8"/>
    <n v="195.9"/>
    <n v="180.9"/>
    <n v="174.3"/>
    <n v="179.9"/>
    <n v="169.5"/>
    <n v="179.5"/>
    <n v="169.5"/>
    <n v="177.8"/>
    <n v="162.30000000000001"/>
    <n v="167.6"/>
    <n v="173.1"/>
    <n v="170.9"/>
    <n v="169.7"/>
    <n v="175.3"/>
  </r>
  <r>
    <s v="Rural+Urban"/>
    <x v="5"/>
    <x v="9"/>
    <n v="165.2"/>
    <n v="210.9"/>
    <n v="170.9"/>
    <n v="170.9"/>
    <n v="186.5"/>
    <n v="163.80000000000001"/>
    <n v="199.7"/>
    <n v="169.8"/>
    <n v="121.9"/>
    <n v="199.9"/>
    <n v="169.9"/>
    <n v="188.3"/>
    <n v="179.6"/>
    <n v="196.3"/>
    <n v="181.9"/>
    <n v="175.3"/>
    <n v="181"/>
    <n v="171.2"/>
    <n v="180.5"/>
    <n v="170.4"/>
    <n v="178.7"/>
    <n v="162.9"/>
    <n v="168.2"/>
    <n v="173.4"/>
    <n v="172.1"/>
    <n v="170.5"/>
    <n v="176.7"/>
  </r>
  <r>
    <s v="Rural+Urban"/>
    <x v="5"/>
    <x v="10"/>
    <n v="167.4"/>
    <n v="209.4"/>
    <n v="181.4"/>
    <n v="172.3"/>
    <n v="188.9"/>
    <n v="160.69999999999999"/>
    <n v="183.1"/>
    <n v="170.5"/>
    <n v="122.1"/>
    <n v="202.8"/>
    <n v="170.4"/>
    <n v="189.5"/>
    <n v="178.3"/>
    <n v="196.9"/>
    <n v="183.1"/>
    <n v="176.2"/>
    <n v="182.1"/>
    <n v="171.8"/>
    <n v="181.3"/>
    <n v="171.4"/>
    <n v="179.8"/>
    <n v="163"/>
    <n v="168.5"/>
    <n v="173.7"/>
    <n v="173.6"/>
    <n v="171.1"/>
    <n v="176.5"/>
  </r>
  <r>
    <s v="Rural+Urban"/>
    <x v="5"/>
    <x v="11"/>
    <n v="169.2"/>
    <n v="209"/>
    <n v="190.2"/>
    <n v="173.6"/>
    <n v="188.5"/>
    <n v="158"/>
    <n v="159.9"/>
    <n v="170.8"/>
    <n v="121.8"/>
    <n v="205.2"/>
    <n v="171"/>
    <n v="190.3"/>
    <n v="175.9"/>
    <n v="197.3"/>
    <n v="184"/>
    <n v="177"/>
    <n v="183"/>
    <n v="170.7"/>
    <n v="182"/>
    <n v="172.1"/>
    <n v="181.1"/>
    <n v="163.4"/>
    <n v="168.9"/>
    <n v="174.1"/>
    <n v="175.8"/>
    <n v="172"/>
    <n v="175.7"/>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13">
  <r>
    <x v="0"/>
    <x v="0"/>
    <s v="January"/>
    <n v="1608.3000000000002"/>
    <n v="129.9"/>
    <n v="519"/>
  </r>
  <r>
    <x v="1"/>
    <x v="0"/>
    <s v="January"/>
    <n v="1590"/>
    <n v="122.6"/>
    <n v="620.29999999999995"/>
  </r>
  <r>
    <x v="2"/>
    <x v="0"/>
    <s v="January"/>
    <n v="1600.6999999999996"/>
    <n v="127.1"/>
    <n v="636.09999999999991"/>
  </r>
  <r>
    <x v="0"/>
    <x v="0"/>
    <s v="February"/>
    <n v="1605.1000000000001"/>
    <n v="130.1"/>
    <n v="521.19999999999993"/>
  </r>
  <r>
    <x v="1"/>
    <x v="0"/>
    <s v="February"/>
    <n v="1581.9"/>
    <n v="122.9"/>
    <n v="622.9"/>
  </r>
  <r>
    <x v="2"/>
    <x v="0"/>
    <s v="February"/>
    <n v="1595.4"/>
    <n v="127.4"/>
    <n v="638.9"/>
  </r>
  <r>
    <x v="0"/>
    <x v="0"/>
    <s v="March"/>
    <n v="1598.7000000000003"/>
    <n v="130.6"/>
    <n v="523.29999999999995"/>
  </r>
  <r>
    <x v="1"/>
    <x v="0"/>
    <s v="March"/>
    <n v="1582.1"/>
    <n v="123.1"/>
    <n v="625.90000000000009"/>
  </r>
  <r>
    <x v="2"/>
    <x v="0"/>
    <s v="March"/>
    <n v="1591.7"/>
    <n v="127.8"/>
    <n v="641.70000000000005"/>
  </r>
  <r>
    <x v="0"/>
    <x v="0"/>
    <s v="April"/>
    <n v="1596.3"/>
    <n v="131"/>
    <n v="524.20000000000005"/>
  </r>
  <r>
    <x v="1"/>
    <x v="0"/>
    <s v="April"/>
    <n v="1584.3"/>
    <n v="123.4"/>
    <n v="627"/>
  </r>
  <r>
    <x v="2"/>
    <x v="0"/>
    <s v="April"/>
    <n v="1591"/>
    <n v="128.1"/>
    <n v="643"/>
  </r>
  <r>
    <x v="0"/>
    <x v="0"/>
    <s v="May"/>
    <n v="1597.1999999999996"/>
    <n v="131.4"/>
    <n v="525.59999999999991"/>
  </r>
  <r>
    <x v="1"/>
    <x v="0"/>
    <s v="May"/>
    <n v="1585.8"/>
    <n v="123.6"/>
    <n v="626.79999999999995"/>
  </r>
  <r>
    <x v="2"/>
    <x v="0"/>
    <s v="May"/>
    <n v="1592.0000000000002"/>
    <n v="128.4"/>
    <n v="643.9"/>
  </r>
  <r>
    <x v="0"/>
    <x v="0"/>
    <s v="June"/>
    <n v="1608.4"/>
    <n v="131.30000000000001"/>
    <n v="526.29999999999995"/>
  </r>
  <r>
    <x v="1"/>
    <x v="0"/>
    <s v="June"/>
    <n v="1606.8000000000002"/>
    <n v="123.8"/>
    <n v="625.40000000000009"/>
  </r>
  <r>
    <x v="2"/>
    <x v="0"/>
    <s v="June"/>
    <n v="1606.9"/>
    <n v="128.5"/>
    <n v="643.30000000000007"/>
  </r>
  <r>
    <x v="0"/>
    <x v="0"/>
    <s v="July"/>
    <n v="1641.5"/>
    <n v="132.1"/>
    <n v="529.1"/>
  </r>
  <r>
    <x v="1"/>
    <x v="0"/>
    <s v="July"/>
    <n v="1643.6999999999998"/>
    <n v="125"/>
    <n v="628.20000000000005"/>
  </r>
  <r>
    <x v="2"/>
    <x v="0"/>
    <s v="July"/>
    <n v="1640.8999999999999"/>
    <n v="129.4"/>
    <n v="646.70000000000005"/>
  </r>
  <r>
    <x v="0"/>
    <x v="0"/>
    <s v="August"/>
    <n v="1660.8999999999999"/>
    <n v="133"/>
    <n v="534.20000000000005"/>
  </r>
  <r>
    <x v="1"/>
    <x v="0"/>
    <s v="August"/>
    <n v="1648.3999999999999"/>
    <n v="125.7"/>
    <n v="631.29999999999995"/>
  </r>
  <r>
    <x v="2"/>
    <x v="0"/>
    <s v="August"/>
    <n v="1655.1"/>
    <n v="130.19999999999999"/>
    <n v="651.90000000000009"/>
  </r>
  <r>
    <x v="0"/>
    <x v="0"/>
    <s v="September"/>
    <n v="1652.6"/>
    <n v="133.4"/>
    <n v="536.1"/>
  </r>
  <r>
    <x v="1"/>
    <x v="0"/>
    <s v="September"/>
    <n v="1624.9"/>
    <n v="126.1"/>
    <n v="636"/>
  </r>
  <r>
    <x v="2"/>
    <x v="0"/>
    <s v="September"/>
    <n v="1641.1999999999998"/>
    <n v="130.6"/>
    <n v="655.69999999999993"/>
  </r>
  <r>
    <x v="0"/>
    <x v="0"/>
    <s v="October"/>
    <n v="1659.6"/>
    <n v="134.19999999999999"/>
    <n v="537.6"/>
  </r>
  <r>
    <x v="1"/>
    <x v="0"/>
    <s v="October"/>
    <n v="1640.6"/>
    <n v="126.6"/>
    <n v="639.5"/>
  </r>
  <r>
    <x v="2"/>
    <x v="0"/>
    <s v="October"/>
    <n v="1650.9999999999998"/>
    <n v="131.30000000000001"/>
    <n v="658.8"/>
  </r>
  <r>
    <x v="0"/>
    <x v="0"/>
    <s v="November"/>
    <n v="1685.8000000000002"/>
    <n v="135.80000000000001"/>
    <n v="543.6"/>
  </r>
  <r>
    <x v="1"/>
    <x v="0"/>
    <s v="November"/>
    <n v="1671.3"/>
    <n v="127.4"/>
    <n v="645"/>
  </r>
  <r>
    <x v="2"/>
    <x v="0"/>
    <s v="November"/>
    <n v="1679"/>
    <n v="132.6"/>
    <n v="665.19999999999993"/>
  </r>
  <r>
    <x v="0"/>
    <x v="0"/>
    <s v="December"/>
    <n v="1682.5000000000002"/>
    <n v="136.1"/>
    <n v="545.20000000000005"/>
  </r>
  <r>
    <x v="1"/>
    <x v="0"/>
    <s v="December"/>
    <n v="1641.8"/>
    <n v="128.19999999999999"/>
    <n v="647.20000000000005"/>
  </r>
  <r>
    <x v="2"/>
    <x v="0"/>
    <s v="December"/>
    <n v="1666.1999999999998"/>
    <n v="133.1"/>
    <n v="667.4"/>
  </r>
  <r>
    <x v="0"/>
    <x v="1"/>
    <s v="January"/>
    <n v="1669.5"/>
    <n v="136"/>
    <n v="546.4"/>
  </r>
  <r>
    <x v="1"/>
    <x v="1"/>
    <s v="January"/>
    <n v="1622.4"/>
    <n v="129"/>
    <n v="650.6"/>
  </r>
  <r>
    <x v="2"/>
    <x v="1"/>
    <s v="January"/>
    <n v="1650.9"/>
    <n v="133.30000000000001"/>
    <n v="670.19999999999993"/>
  </r>
  <r>
    <x v="0"/>
    <x v="1"/>
    <s v="February"/>
    <n v="1651"/>
    <n v="136.19999999999999"/>
    <n v="547.1"/>
  </r>
  <r>
    <x v="1"/>
    <x v="1"/>
    <s v="February"/>
    <n v="1602"/>
    <n v="129.80000000000001"/>
    <n v="653.09999999999991"/>
  </r>
  <r>
    <x v="2"/>
    <x v="1"/>
    <s v="February"/>
    <n v="1631.7999999999997"/>
    <n v="133.80000000000001"/>
    <n v="672.4"/>
  </r>
  <r>
    <x v="0"/>
    <x v="1"/>
    <s v="March"/>
    <n v="1650.7999999999997"/>
    <n v="136.69999999999999"/>
    <n v="549.79999999999995"/>
  </r>
  <r>
    <x v="1"/>
    <x v="1"/>
    <s v="March"/>
    <n v="1589.3"/>
    <n v="130.5"/>
    <n v="654.79999999999995"/>
  </r>
  <r>
    <x v="2"/>
    <x v="1"/>
    <s v="March"/>
    <n v="1626.9"/>
    <n v="134.30000000000001"/>
    <n v="674.90000000000009"/>
  </r>
  <r>
    <x v="0"/>
    <x v="1"/>
    <s v="April"/>
    <n v="1648.1"/>
    <n v="137.6"/>
    <n v="553.70000000000005"/>
  </r>
  <r>
    <x v="1"/>
    <x v="1"/>
    <s v="April"/>
    <n v="1593.5000000000002"/>
    <n v="131.30000000000001"/>
    <n v="657.90000000000009"/>
  </r>
  <r>
    <x v="2"/>
    <x v="1"/>
    <s v="April"/>
    <n v="1627.5000000000002"/>
    <n v="135.19999999999999"/>
    <n v="679.3"/>
  </r>
  <r>
    <x v="0"/>
    <x v="1"/>
    <s v="May"/>
    <n v="1650.2"/>
    <n v="138.4"/>
    <n v="556.9"/>
  </r>
  <r>
    <x v="1"/>
    <x v="1"/>
    <s v="May"/>
    <n v="1596.3"/>
    <n v="132"/>
    <n v="660.59999999999991"/>
  </r>
  <r>
    <x v="2"/>
    <x v="1"/>
    <s v="May"/>
    <n v="1629.8999999999999"/>
    <n v="136"/>
    <n v="682.5"/>
  </r>
  <r>
    <x v="0"/>
    <x v="1"/>
    <s v="June"/>
    <n v="1657.4999999999998"/>
    <n v="138.4"/>
    <n v="559.79999999999995"/>
  </r>
  <r>
    <x v="1"/>
    <x v="1"/>
    <s v="June"/>
    <n v="1620.6000000000001"/>
    <n v="132.6"/>
    <n v="663.7"/>
  </r>
  <r>
    <x v="2"/>
    <x v="1"/>
    <s v="June"/>
    <n v="1643.8000000000002"/>
    <n v="136.19999999999999"/>
    <n v="685"/>
  </r>
  <r>
    <x v="0"/>
    <x v="1"/>
    <s v="July"/>
    <n v="1677.7000000000003"/>
    <n v="139"/>
    <n v="563.20000000000005"/>
  </r>
  <r>
    <x v="1"/>
    <x v="1"/>
    <s v="July"/>
    <n v="1644.3"/>
    <n v="133.6"/>
    <n v="669.4"/>
  </r>
  <r>
    <x v="2"/>
    <x v="1"/>
    <s v="July"/>
    <n v="1665"/>
    <n v="137"/>
    <n v="690.2"/>
  </r>
  <r>
    <x v="0"/>
    <x v="1"/>
    <s v="August"/>
    <n v="1685"/>
    <n v="139.4"/>
    <n v="566.70000000000005"/>
  </r>
  <r>
    <x v="1"/>
    <x v="1"/>
    <s v="August"/>
    <n v="1640.1999999999998"/>
    <n v="134.9"/>
    <n v="674.8"/>
  </r>
  <r>
    <x v="2"/>
    <x v="1"/>
    <s v="August"/>
    <n v="1667.6000000000004"/>
    <n v="137.69999999999999"/>
    <n v="695.19999999999993"/>
  </r>
  <r>
    <x v="0"/>
    <x v="1"/>
    <s v="September"/>
    <n v="1666.7000000000003"/>
    <n v="140"/>
    <n v="570.5"/>
  </r>
  <r>
    <x v="1"/>
    <x v="1"/>
    <s v="September"/>
    <n v="1620.7"/>
    <n v="135.69999999999999"/>
    <n v="679.09999999999991"/>
  </r>
  <r>
    <x v="2"/>
    <x v="1"/>
    <s v="September"/>
    <n v="1648.7"/>
    <n v="138.4"/>
    <n v="699.5"/>
  </r>
  <r>
    <x v="0"/>
    <x v="1"/>
    <s v="October"/>
    <n v="1647.6000000000001"/>
    <n v="144.80000000000001"/>
    <n v="576"/>
  </r>
  <r>
    <x v="1"/>
    <x v="1"/>
    <s v="October"/>
    <n v="1626.5"/>
    <n v="136.19999999999999"/>
    <n v="683.6"/>
  </r>
  <r>
    <x v="2"/>
    <x v="1"/>
    <s v="October"/>
    <n v="1642.6000000000001"/>
    <n v="142.1"/>
    <n v="707.7"/>
  </r>
  <r>
    <x v="0"/>
    <x v="1"/>
    <s v="November"/>
    <n v="1649.9999999999995"/>
    <n v="145.4"/>
    <n v="578.79999999999995"/>
  </r>
  <r>
    <x v="1"/>
    <x v="1"/>
    <s v="November"/>
    <n v="1629.4999999999998"/>
    <n v="136.80000000000001"/>
    <n v="686.7"/>
  </r>
  <r>
    <x v="2"/>
    <x v="1"/>
    <s v="November"/>
    <n v="1642.2000000000003"/>
    <n v="142.1"/>
    <n v="707.5"/>
  </r>
  <r>
    <x v="0"/>
    <x v="1"/>
    <s v="December"/>
    <n v="1635.3000000000002"/>
    <n v="149.6"/>
    <n v="582.5"/>
  </r>
  <r>
    <x v="1"/>
    <x v="1"/>
    <s v="December"/>
    <n v="1618.5"/>
    <n v="137.30000000000001"/>
    <n v="680.4"/>
  </r>
  <r>
    <x v="2"/>
    <x v="1"/>
    <s v="December"/>
    <n v="1628.9999999999998"/>
    <n v="144.9"/>
    <n v="706.1"/>
  </r>
  <r>
    <x v="0"/>
    <x v="2"/>
    <s v="January"/>
    <n v="1622.6000000000001"/>
    <n v="149.6"/>
    <n v="580.09999999999991"/>
  </r>
  <r>
    <x v="1"/>
    <x v="2"/>
    <s v="January"/>
    <n v="1616.2000000000003"/>
    <n v="137.80000000000001"/>
    <n v="677.8"/>
  </r>
  <r>
    <x v="2"/>
    <x v="2"/>
    <s v="January"/>
    <n v="1620.1"/>
    <n v="145.1"/>
    <n v="704.3"/>
  </r>
  <r>
    <x v="0"/>
    <x v="2"/>
    <s v="February"/>
    <n v="1622.4"/>
    <n v="149.9"/>
    <n v="580.09999999999991"/>
  </r>
  <r>
    <x v="1"/>
    <x v="2"/>
    <s v="February"/>
    <n v="1626.1000000000001"/>
    <n v="138.5"/>
    <n v="678.00000000000011"/>
  </r>
  <r>
    <x v="2"/>
    <x v="2"/>
    <s v="February"/>
    <n v="1623.5"/>
    <n v="145.6"/>
    <n v="704.8"/>
  </r>
  <r>
    <x v="0"/>
    <x v="2"/>
    <s v="March"/>
    <n v="1623.8000000000002"/>
    <n v="150.4"/>
    <n v="581.79999999999995"/>
  </r>
  <r>
    <x v="1"/>
    <x v="2"/>
    <s v="March"/>
    <n v="1639.9"/>
    <n v="139.19999999999999"/>
    <n v="681.2"/>
  </r>
  <r>
    <x v="2"/>
    <x v="2"/>
    <s v="March"/>
    <n v="1629.2"/>
    <n v="146.19999999999999"/>
    <n v="707.40000000000009"/>
  </r>
  <r>
    <x v="0"/>
    <x v="2"/>
    <s v="May"/>
    <n v="1644.4"/>
    <n v="151.30000000000001"/>
    <n v="583.29999999999995"/>
  </r>
  <r>
    <x v="1"/>
    <x v="2"/>
    <s v="May"/>
    <n v="1682.6000000000001"/>
    <n v="139.80000000000001"/>
    <n v="684.8"/>
  </r>
  <r>
    <x v="2"/>
    <x v="2"/>
    <s v="May"/>
    <n v="1657.9000000000003"/>
    <n v="146.9"/>
    <n v="710.6"/>
  </r>
  <r>
    <x v="0"/>
    <x v="2"/>
    <s v="June"/>
    <n v="1666.1999999999998"/>
    <n v="151.69999999999999"/>
    <n v="585.29999999999995"/>
  </r>
  <r>
    <x v="1"/>
    <x v="2"/>
    <s v="June"/>
    <n v="1704.2999999999997"/>
    <n v="140.30000000000001"/>
    <n v="685.8"/>
  </r>
  <r>
    <x v="2"/>
    <x v="2"/>
    <s v="June"/>
    <n v="1679.9"/>
    <n v="147.4"/>
    <n v="711.5"/>
  </r>
  <r>
    <x v="0"/>
    <x v="2"/>
    <s v="July"/>
    <n v="1688.3999999999999"/>
    <n v="152.19999999999999"/>
    <n v="587.1"/>
  </r>
  <r>
    <x v="1"/>
    <x v="2"/>
    <s v="July"/>
    <n v="1727.8999999999999"/>
    <n v="140.80000000000001"/>
    <n v="686.3"/>
  </r>
  <r>
    <x v="2"/>
    <x v="2"/>
    <s v="July"/>
    <n v="1702.8"/>
    <n v="147.9"/>
    <n v="713.69999999999993"/>
  </r>
  <r>
    <x v="0"/>
    <x v="2"/>
    <s v="August"/>
    <n v="1696.0000000000002"/>
    <n v="152.69999999999999"/>
    <n v="587.70000000000005"/>
  </r>
  <r>
    <x v="1"/>
    <x v="2"/>
    <s v="August"/>
    <n v="1739.3"/>
    <n v="141.5"/>
    <n v="687.5"/>
  </r>
  <r>
    <x v="2"/>
    <x v="2"/>
    <s v="August"/>
    <n v="1711.6"/>
    <n v="148.5"/>
    <n v="715.3"/>
  </r>
  <r>
    <x v="0"/>
    <x v="2"/>
    <s v="September"/>
    <n v="1710.2"/>
    <n v="153.4"/>
    <n v="589"/>
  </r>
  <r>
    <x v="1"/>
    <x v="2"/>
    <s v="September"/>
    <n v="1744.9"/>
    <n v="141.9"/>
    <n v="689.9"/>
  </r>
  <r>
    <x v="2"/>
    <x v="2"/>
    <s v="September"/>
    <n v="1722.6999999999998"/>
    <n v="149"/>
    <n v="717.3"/>
  </r>
  <r>
    <x v="0"/>
    <x v="2"/>
    <s v="October"/>
    <n v="1738.2999999999997"/>
    <n v="153.69999999999999"/>
    <n v="590.69999999999993"/>
  </r>
  <r>
    <x v="1"/>
    <x v="2"/>
    <s v="October"/>
    <n v="1772.4"/>
    <n v="142.4"/>
    <n v="693.8"/>
  </r>
  <r>
    <x v="2"/>
    <x v="2"/>
    <s v="October"/>
    <n v="1750.4999999999998"/>
    <n v="149.4"/>
    <n v="720.3"/>
  </r>
  <r>
    <x v="0"/>
    <x v="2"/>
    <s v="November"/>
    <n v="1765.9"/>
    <n v="154.30000000000001"/>
    <n v="592.20000000000005"/>
  </r>
  <r>
    <x v="1"/>
    <x v="2"/>
    <s v="November"/>
    <n v="1793.4999999999998"/>
    <n v="142.80000000000001"/>
    <n v="698.3"/>
  </r>
  <r>
    <x v="2"/>
    <x v="2"/>
    <s v="November"/>
    <n v="1775.6000000000001"/>
    <n v="149.9"/>
    <n v="723.2"/>
  </r>
  <r>
    <x v="0"/>
    <x v="2"/>
    <s v="December"/>
    <n v="1801.6999999999996"/>
    <n v="154.80000000000001"/>
    <n v="597.20000000000005"/>
  </r>
  <r>
    <x v="1"/>
    <x v="2"/>
    <s v="December"/>
    <n v="1825.9"/>
    <n v="143.19999999999999"/>
    <n v="703.3"/>
  </r>
  <r>
    <x v="2"/>
    <x v="2"/>
    <s v="December"/>
    <n v="1810.3000000000002"/>
    <n v="150.4"/>
    <n v="727.8"/>
  </r>
  <r>
    <x v="0"/>
    <x v="3"/>
    <s v="January"/>
    <n v="1798.8999999999999"/>
    <n v="155.69999999999999"/>
    <n v="600.1"/>
  </r>
  <r>
    <x v="1"/>
    <x v="3"/>
    <s v="January"/>
    <n v="1814.3"/>
    <n v="143.80000000000001"/>
    <n v="707.30000000000007"/>
  </r>
  <r>
    <x v="2"/>
    <x v="3"/>
    <s v="January"/>
    <n v="1804.3"/>
    <n v="151.19999999999999"/>
    <n v="731.7"/>
  </r>
  <r>
    <x v="0"/>
    <x v="3"/>
    <s v="February"/>
    <n v="1769.6999999999998"/>
    <n v="156.19999999999999"/>
    <n v="602"/>
  </r>
  <r>
    <x v="1"/>
    <x v="3"/>
    <s v="February"/>
    <n v="1785.1"/>
    <n v="144.4"/>
    <n v="711.5"/>
  </r>
  <r>
    <x v="2"/>
    <x v="3"/>
    <s v="February"/>
    <n v="1775.1"/>
    <n v="151.69999999999999"/>
    <n v="734.90000000000009"/>
  </r>
  <r>
    <x v="0"/>
    <x v="3"/>
    <s v="March"/>
    <n v="1754.4999999999998"/>
    <n v="156.69999999999999"/>
    <n v="601.9"/>
  </r>
  <r>
    <x v="1"/>
    <x v="3"/>
    <s v="March"/>
    <n v="1766.6"/>
    <n v="145"/>
    <n v="713.8"/>
  </r>
  <r>
    <x v="2"/>
    <x v="3"/>
    <s v="March"/>
    <n v="1758.7"/>
    <n v="152.30000000000001"/>
    <n v="735.8"/>
  </r>
  <r>
    <x v="0"/>
    <x v="3"/>
    <s v="April"/>
    <n v="1475.6000000000001"/>
    <n v="154.30000000000001"/>
    <n v="148.4"/>
  </r>
  <r>
    <x v="1"/>
    <x v="3"/>
    <s v="April"/>
    <n v="1503.2"/>
    <n v="144.80000000000001"/>
    <n v="292.7"/>
  </r>
  <r>
    <x v="2"/>
    <x v="3"/>
    <s v="April"/>
    <n v="1485.9"/>
    <n v="150.69999999999999"/>
    <n v="299.7"/>
  </r>
  <r>
    <x v="0"/>
    <x v="3"/>
    <s v="May"/>
    <n v="0"/>
    <s v="NA"/>
    <n v="0"/>
  </r>
  <r>
    <x v="1"/>
    <x v="3"/>
    <s v="May"/>
    <n v="0"/>
    <s v="NA"/>
    <n v="0"/>
  </r>
  <r>
    <x v="2"/>
    <x v="3"/>
    <s v="May"/>
    <n v="0"/>
    <s v="NA"/>
    <n v="0"/>
  </r>
  <r>
    <x v="0"/>
    <x v="3"/>
    <s v="June"/>
    <n v="1808.9"/>
    <n v="158.19999999999999"/>
    <n v="599.79999999999995"/>
  </r>
  <r>
    <x v="1"/>
    <x v="3"/>
    <s v="June"/>
    <n v="1859.3999999999999"/>
    <n v="148.1"/>
    <n v="714"/>
  </r>
  <r>
    <x v="2"/>
    <x v="3"/>
    <s v="June"/>
    <n v="1827.4"/>
    <n v="154.4"/>
    <n v="734.4"/>
  </r>
  <r>
    <x v="0"/>
    <x v="3"/>
    <s v="July"/>
    <n v="1808.9"/>
    <n v="158.19999999999999"/>
    <n v="599.79999999999995"/>
  </r>
  <r>
    <x v="1"/>
    <x v="3"/>
    <s v="July"/>
    <n v="1859.3999999999999"/>
    <n v="148.1"/>
    <n v="714"/>
  </r>
  <r>
    <x v="2"/>
    <x v="3"/>
    <s v="July"/>
    <n v="1827.4"/>
    <n v="154.4"/>
    <n v="734.4"/>
  </r>
  <r>
    <x v="0"/>
    <x v="3"/>
    <s v="August"/>
    <n v="1835.1"/>
    <n v="158.80000000000001"/>
    <n v="604"/>
  </r>
  <r>
    <x v="1"/>
    <x v="3"/>
    <s v="August"/>
    <n v="1888.3999999999999"/>
    <n v="148.69999999999999"/>
    <n v="727.7"/>
  </r>
  <r>
    <x v="2"/>
    <x v="3"/>
    <s v="August"/>
    <n v="1854.6"/>
    <n v="155"/>
    <n v="743.9"/>
  </r>
  <r>
    <x v="0"/>
    <x v="3"/>
    <s v="September"/>
    <n v="1841.9999999999998"/>
    <n v="159.1"/>
    <n v="603.70000000000005"/>
  </r>
  <r>
    <x v="1"/>
    <x v="3"/>
    <s v="September"/>
    <n v="1903.9"/>
    <n v="150"/>
    <n v="728.9"/>
  </r>
  <r>
    <x v="2"/>
    <x v="3"/>
    <s v="September"/>
    <n v="1864.8"/>
    <n v="155.6"/>
    <n v="745"/>
  </r>
  <r>
    <x v="0"/>
    <x v="3"/>
    <s v="October"/>
    <n v="1883.5"/>
    <n v="159.5"/>
    <n v="607.70000000000005"/>
  </r>
  <r>
    <x v="1"/>
    <x v="3"/>
    <s v="October"/>
    <n v="1941"/>
    <n v="151"/>
    <n v="729.8"/>
  </r>
  <r>
    <x v="2"/>
    <x v="3"/>
    <s v="October"/>
    <n v="1904.6000000000004"/>
    <n v="156.30000000000001"/>
    <n v="747.4"/>
  </r>
  <r>
    <x v="0"/>
    <x v="3"/>
    <s v="November"/>
    <n v="1932.4000000000003"/>
    <n v="160.4"/>
    <n v="608"/>
  </r>
  <r>
    <x v="1"/>
    <x v="3"/>
    <s v="November"/>
    <n v="1979.2"/>
    <n v="152"/>
    <n v="731.99999999999989"/>
  </r>
  <r>
    <x v="2"/>
    <x v="3"/>
    <s v="November"/>
    <n v="1949.1000000000001"/>
    <n v="157.19999999999999"/>
    <n v="749.80000000000007"/>
  </r>
  <r>
    <x v="0"/>
    <x v="3"/>
    <s v="December"/>
    <n v="1947.1"/>
    <n v="161.6"/>
    <n v="611.4"/>
  </r>
  <r>
    <x v="1"/>
    <x v="3"/>
    <s v="December"/>
    <n v="1982.1000000000001"/>
    <n v="152.9"/>
    <n v="734.19999999999993"/>
  </r>
  <r>
    <x v="2"/>
    <x v="3"/>
    <s v="December"/>
    <n v="1959.9"/>
    <n v="158.30000000000001"/>
    <n v="752.8"/>
  </r>
  <r>
    <x v="0"/>
    <x v="4"/>
    <s v="January"/>
    <n v="1909.5999999999997"/>
    <n v="162.5"/>
    <n v="615.79999999999995"/>
  </r>
  <r>
    <x v="1"/>
    <x v="4"/>
    <s v="January"/>
    <n v="1951.1000000000001"/>
    <n v="154.1"/>
    <n v="739.30000000000007"/>
  </r>
  <r>
    <x v="2"/>
    <x v="4"/>
    <s v="January"/>
    <n v="1924.6999999999998"/>
    <n v="159.30000000000001"/>
    <n v="756.7"/>
  </r>
  <r>
    <x v="0"/>
    <x v="4"/>
    <s v="February"/>
    <n v="1865.3"/>
    <n v="164.3"/>
    <n v="623"/>
  </r>
  <r>
    <x v="1"/>
    <x v="4"/>
    <s v="February"/>
    <n v="1916.8"/>
    <n v="156.30000000000001"/>
    <n v="752.5"/>
  </r>
  <r>
    <x v="2"/>
    <x v="4"/>
    <s v="February"/>
    <n v="1883.8000000000002"/>
    <n v="161.30000000000001"/>
    <n v="767.7"/>
  </r>
  <r>
    <x v="0"/>
    <x v="4"/>
    <s v="March"/>
    <n v="1865.1000000000001"/>
    <n v="164.6"/>
    <n v="625.90000000000009"/>
  </r>
  <r>
    <x v="1"/>
    <x v="4"/>
    <s v="March"/>
    <n v="1913.7999999999997"/>
    <n v="156.9"/>
    <n v="761.2"/>
  </r>
  <r>
    <x v="2"/>
    <x v="4"/>
    <s v="March"/>
    <n v="1882.8999999999999"/>
    <n v="161.69999999999999"/>
    <n v="773"/>
  </r>
  <r>
    <x v="0"/>
    <x v="4"/>
    <s v="April"/>
    <n v="1887.6"/>
    <n v="165.3"/>
    <n v="627.29999999999995"/>
  </r>
  <r>
    <x v="1"/>
    <x v="4"/>
    <s v="April"/>
    <n v="1938.1"/>
    <n v="157.5"/>
    <n v="763.6"/>
  </r>
  <r>
    <x v="2"/>
    <x v="4"/>
    <s v="April"/>
    <n v="1906.5"/>
    <n v="162.30000000000001"/>
    <n v="775.7"/>
  </r>
  <r>
    <x v="0"/>
    <x v="4"/>
    <s v="May"/>
    <n v="1930.7"/>
    <n v="169.1"/>
    <n v="641.29999999999995"/>
  </r>
  <r>
    <x v="1"/>
    <x v="4"/>
    <s v="May"/>
    <n v="1972.7000000000003"/>
    <n v="160.4"/>
    <n v="768.80000000000007"/>
  </r>
  <r>
    <x v="2"/>
    <x v="4"/>
    <s v="May"/>
    <n v="1946.4000000000003"/>
    <n v="165.8"/>
    <n v="785.8"/>
  </r>
  <r>
    <x v="0"/>
    <x v="4"/>
    <s v="June"/>
    <n v="1957.1"/>
    <n v="169.7"/>
    <n v="642.29999999999995"/>
  </r>
  <r>
    <x v="1"/>
    <x v="4"/>
    <s v="June"/>
    <n v="2001.9"/>
    <n v="160.80000000000001"/>
    <n v="772.00000000000011"/>
  </r>
  <r>
    <x v="2"/>
    <x v="4"/>
    <s v="June"/>
    <n v="1973.8999999999999"/>
    <n v="166.3"/>
    <n v="787.5"/>
  </r>
  <r>
    <x v="0"/>
    <x v="4"/>
    <s v="July"/>
    <n v="1966.2"/>
    <n v="170.4"/>
    <n v="647.09999999999991"/>
  </r>
  <r>
    <x v="1"/>
    <x v="4"/>
    <s v="July"/>
    <n v="2018.4000000000003"/>
    <n v="161.5"/>
    <n v="779.7"/>
  </r>
  <r>
    <x v="2"/>
    <x v="4"/>
    <s v="July"/>
    <n v="1986.1000000000001"/>
    <n v="167"/>
    <n v="794.3"/>
  </r>
  <r>
    <x v="0"/>
    <x v="4"/>
    <s v="August"/>
    <n v="1963.2"/>
    <n v="171.1"/>
    <n v="649.20000000000005"/>
  </r>
  <r>
    <x v="1"/>
    <x v="4"/>
    <s v="August"/>
    <n v="2003.1"/>
    <n v="162.80000000000001"/>
    <n v="786.8"/>
  </r>
  <r>
    <x v="2"/>
    <x v="4"/>
    <s v="August"/>
    <n v="1979.3000000000002"/>
    <n v="168.4"/>
    <n v="800"/>
  </r>
  <r>
    <x v="0"/>
    <x v="4"/>
    <s v="September"/>
    <n v="1965.3"/>
    <n v="171.9"/>
    <n v="651.29999999999995"/>
  </r>
  <r>
    <x v="1"/>
    <x v="4"/>
    <s v="September"/>
    <n v="2003.1000000000001"/>
    <n v="162.80000000000001"/>
    <n v="787"/>
  </r>
  <r>
    <x v="2"/>
    <x v="4"/>
    <s v="September"/>
    <n v="1979.3"/>
    <n v="168.4"/>
    <n v="799.90000000000009"/>
  </r>
  <r>
    <x v="0"/>
    <x v="4"/>
    <s v="October"/>
    <n v="1995.3999999999999"/>
    <n v="172.5"/>
    <n v="656"/>
  </r>
  <r>
    <x v="1"/>
    <x v="4"/>
    <s v="October"/>
    <n v="2043.0000000000002"/>
    <n v="163.5"/>
    <n v="792.59999999999991"/>
  </r>
  <r>
    <x v="2"/>
    <x v="4"/>
    <s v="October"/>
    <n v="2012.3000000000002"/>
    <n v="169.1"/>
    <n v="805.79999999999984"/>
  </r>
  <r>
    <x v="0"/>
    <x v="4"/>
    <s v="November"/>
    <n v="2012.9"/>
    <n v="173.4"/>
    <n v="656.40000000000009"/>
  </r>
  <r>
    <x v="1"/>
    <x v="4"/>
    <s v="November"/>
    <n v="2061.7999999999997"/>
    <n v="164.2"/>
    <n v="793"/>
  </r>
  <r>
    <x v="2"/>
    <x v="4"/>
    <s v="November"/>
    <n v="2030.3999999999999"/>
    <n v="169.9"/>
    <n v="806.5"/>
  </r>
  <r>
    <x v="0"/>
    <x v="4"/>
    <s v="December"/>
    <n v="1998.4999999999998"/>
    <n v="174"/>
    <n v="659.3"/>
  </r>
  <r>
    <x v="1"/>
    <x v="4"/>
    <s v="December"/>
    <n v="2049.8000000000002"/>
    <n v="165.1"/>
    <n v="793.50000000000011"/>
  </r>
  <r>
    <x v="2"/>
    <x v="4"/>
    <s v="December"/>
    <n v="2016.7"/>
    <n v="170.6"/>
    <n v="807.8"/>
  </r>
  <r>
    <x v="0"/>
    <x v="5"/>
    <s v="January"/>
    <n v="1983.1999999999998"/>
    <n v="174.7"/>
    <n v="661.40000000000009"/>
  </r>
  <r>
    <x v="1"/>
    <x v="5"/>
    <s v="January"/>
    <n v="2030.0999999999997"/>
    <n v="166.1"/>
    <n v="796.6"/>
  </r>
  <r>
    <x v="2"/>
    <x v="5"/>
    <s v="January"/>
    <n v="1999.9"/>
    <n v="171.4"/>
    <n v="811"/>
  </r>
  <r>
    <x v="0"/>
    <x v="5"/>
    <s v="February"/>
    <n v="1979.9"/>
    <n v="175.3"/>
    <n v="664.6"/>
  </r>
  <r>
    <x v="1"/>
    <x v="5"/>
    <s v="February"/>
    <n v="2026.8"/>
    <n v="167.2"/>
    <n v="801"/>
  </r>
  <r>
    <x v="2"/>
    <x v="5"/>
    <s v="February"/>
    <n v="1996.5000000000002"/>
    <n v="172.2"/>
    <n v="815.3"/>
  </r>
  <r>
    <x v="0"/>
    <x v="5"/>
    <s v="March"/>
    <n v="2007.9"/>
    <n v="176"/>
    <n v="668"/>
  </r>
  <r>
    <x v="1"/>
    <x v="5"/>
    <s v="March"/>
    <n v="2039.2000000000003"/>
    <n v="168.2"/>
    <n v="805.3"/>
  </r>
  <r>
    <x v="2"/>
    <x v="5"/>
    <s v="March"/>
    <n v="2018.9000000000003"/>
    <n v="173"/>
    <n v="819.2"/>
  </r>
  <r>
    <x v="0"/>
    <x v="5"/>
    <s v="April"/>
    <n v="2034.1999999999998"/>
    <n v="177"/>
    <n v="678.1"/>
  </r>
  <r>
    <x v="1"/>
    <x v="5"/>
    <s v="April"/>
    <n v="2072.9"/>
    <n v="169"/>
    <n v="820.6"/>
  </r>
  <r>
    <x v="2"/>
    <x v="5"/>
    <s v="April"/>
    <n v="2048.1000000000004"/>
    <n v="174"/>
    <n v="832.69999999999993"/>
  </r>
  <r>
    <x v="0"/>
    <x v="5"/>
    <s v="May"/>
    <n v="2053.6000000000004"/>
    <n v="177.7"/>
    <n v="683.10000000000014"/>
  </r>
  <r>
    <x v="1"/>
    <x v="5"/>
    <s v="May"/>
    <n v="2103.7000000000003"/>
    <n v="170.1"/>
    <n v="826.7"/>
  </r>
  <r>
    <x v="2"/>
    <x v="5"/>
    <s v="May"/>
    <n v="2071.8000000000002"/>
    <n v="174.8"/>
    <n v="838.19999999999993"/>
  </r>
  <r>
    <x v="0"/>
    <x v="5"/>
    <s v="June"/>
    <n v="2074.1"/>
    <n v="178.2"/>
    <n v="685.1"/>
  </r>
  <r>
    <x v="1"/>
    <x v="5"/>
    <s v="June"/>
    <n v="2128.4"/>
    <n v="170.9"/>
    <n v="827.5"/>
  </r>
  <r>
    <x v="2"/>
    <x v="5"/>
    <s v="June"/>
    <n v="2094"/>
    <n v="175.4"/>
    <n v="839.30000000000007"/>
  </r>
  <r>
    <x v="0"/>
    <x v="5"/>
    <s v="July"/>
    <n v="2078"/>
    <n v="178.8"/>
    <n v="691.90000000000009"/>
  </r>
  <r>
    <x v="1"/>
    <x v="5"/>
    <s v="July"/>
    <n v="2131.8000000000002"/>
    <n v="171.7"/>
    <n v="836.9"/>
  </r>
  <r>
    <x v="2"/>
    <x v="5"/>
    <s v="July"/>
    <n v="2097.9"/>
    <n v="176.1"/>
    <n v="847.8"/>
  </r>
  <r>
    <x v="0"/>
    <x v="5"/>
    <s v="August"/>
    <n v="2081"/>
    <n v="179.4"/>
    <n v="693.7"/>
  </r>
  <r>
    <x v="1"/>
    <x v="5"/>
    <s v="August"/>
    <n v="2133.1999999999998"/>
    <n v="172.6"/>
    <n v="839.19999999999993"/>
  </r>
  <r>
    <x v="2"/>
    <x v="5"/>
    <s v="August"/>
    <n v="2100.4"/>
    <n v="176.8"/>
    <n v="850.5"/>
  </r>
  <r>
    <x v="0"/>
    <x v="5"/>
    <s v="September"/>
    <n v="2092.3999999999996"/>
    <n v="180.2"/>
    <n v="696.39999999999986"/>
  </r>
  <r>
    <x v="1"/>
    <x v="5"/>
    <s v="September"/>
    <n v="2145.3000000000002"/>
    <n v="173.8"/>
    <n v="842.80000000000007"/>
  </r>
  <r>
    <x v="2"/>
    <x v="5"/>
    <s v="September"/>
    <n v="2111.5"/>
    <n v="177.8"/>
    <n v="853.9"/>
  </r>
  <r>
    <x v="0"/>
    <x v="5"/>
    <s v="October"/>
    <n v="2108.6999999999998"/>
    <n v="181.2"/>
    <n v="699.1"/>
  </r>
  <r>
    <x v="1"/>
    <x v="5"/>
    <s v="October"/>
    <n v="2160.7000000000003"/>
    <n v="174.7"/>
    <n v="847.2"/>
  </r>
  <r>
    <x v="2"/>
    <x v="5"/>
    <s v="October"/>
    <n v="2127.4"/>
    <n v="178.7"/>
    <n v="858.4"/>
  </r>
  <r>
    <x v="0"/>
    <x v="5"/>
    <s v="November"/>
    <n v="2111.2999999999997"/>
    <n v="182.3"/>
    <n v="701.8"/>
  </r>
  <r>
    <x v="1"/>
    <x v="5"/>
    <s v="November"/>
    <n v="2152.3000000000002"/>
    <n v="175.8"/>
    <n v="849.4"/>
  </r>
  <r>
    <x v="2"/>
    <x v="5"/>
    <s v="November"/>
    <n v="2126.3999999999996"/>
    <n v="179.8"/>
    <n v="861.2"/>
  </r>
  <r>
    <x v="0"/>
    <x v="5"/>
    <s v="December"/>
    <n v="2100.3000000000002"/>
    <n v="183.5"/>
    <n v="704.3"/>
  </r>
  <r>
    <x v="1"/>
    <x v="5"/>
    <s v="December"/>
    <n v="2133"/>
    <n v="177.2"/>
    <n v="849.8"/>
  </r>
  <r>
    <x v="2"/>
    <x v="5"/>
    <s v="December"/>
    <n v="2112.4"/>
    <n v="181.1"/>
    <n v="862.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BACB605-8045-4A37-A23A-2446FDFB0477}" name="PivotTable3"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75:C88" firstHeaderRow="1" firstDataRow="1" firstDataCol="2"/>
  <pivotFields count="30">
    <pivotField compact="0" outline="0" showAll="0" defaultSubtotal="0"/>
    <pivotField axis="axisRow" compact="0" outline="0" showAll="0" defaultSubtotal="0">
      <items count="6">
        <item x="0"/>
        <item x="1"/>
        <item x="2"/>
        <item x="3"/>
        <item x="4"/>
        <item x="5"/>
      </items>
    </pivotField>
    <pivotField axis="axisRow" compact="0" outline="0" showAll="0" defaultSubtotal="0">
      <items count="12">
        <item x="0"/>
        <item h="1" x="1"/>
        <item h="1" x="2"/>
        <item h="1" x="3"/>
        <item h="1" x="4"/>
        <item h="1" x="5"/>
        <item h="1" x="6"/>
        <item h="1" x="7"/>
        <item h="1" x="8"/>
        <item h="1" x="9"/>
        <item h="1" x="10"/>
        <item x="11"/>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dataField="1" compact="0" outline="0" showAll="0" defaultSubtotal="0"/>
  </pivotFields>
  <rowFields count="2">
    <field x="1"/>
    <field x="2"/>
  </rowFields>
  <rowItems count="13">
    <i>
      <x/>
      <x/>
    </i>
    <i r="1">
      <x v="11"/>
    </i>
    <i>
      <x v="1"/>
      <x/>
    </i>
    <i r="1">
      <x v="11"/>
    </i>
    <i>
      <x v="2"/>
      <x/>
    </i>
    <i r="1">
      <x v="11"/>
    </i>
    <i>
      <x v="3"/>
      <x/>
    </i>
    <i r="1">
      <x v="11"/>
    </i>
    <i>
      <x v="4"/>
      <x/>
    </i>
    <i r="1">
      <x v="11"/>
    </i>
    <i>
      <x v="5"/>
      <x/>
    </i>
    <i r="1">
      <x v="11"/>
    </i>
    <i t="grand">
      <x/>
    </i>
  </rowItems>
  <colItems count="1">
    <i/>
  </colItems>
  <dataFields count="1">
    <dataField name="Sum of General index" fld="29" baseField="1"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041EE71-3795-4AF1-B795-064B14F3F4B2}" name="PivotTable4" cacheId="18"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H3:L22" firstHeaderRow="0" firstDataRow="1" firstDataCol="2"/>
  <pivotFields count="6">
    <pivotField axis="axisRow" compact="0" outline="0" multipleItemSelectionAllowed="1" showAll="0" defaultSubtotal="0">
      <items count="3">
        <item x="0"/>
        <item x="2"/>
        <item x="1"/>
      </items>
    </pivotField>
    <pivotField axis="axisRow" compact="0" outline="0" showAll="0" defaultSubtotal="0">
      <items count="6">
        <item x="0"/>
        <item x="1"/>
        <item x="2"/>
        <item x="3"/>
        <item x="4"/>
        <item x="5"/>
      </items>
    </pivotField>
    <pivotField compact="0" outline="0" showAll="0" defaultSubtotal="0"/>
    <pivotField dataField="1" compact="0" outline="0" showAll="0" defaultSubtotal="0"/>
    <pivotField dataField="1" compact="0" outline="0" showAll="0" defaultSubtotal="0"/>
    <pivotField dataField="1" compact="0" outline="0" showAll="0" defaultSubtotal="0"/>
  </pivotFields>
  <rowFields count="2">
    <field x="0"/>
    <field x="1"/>
  </rowFields>
  <rowItems count="19">
    <i>
      <x/>
      <x/>
    </i>
    <i r="1">
      <x v="1"/>
    </i>
    <i r="1">
      <x v="2"/>
    </i>
    <i r="1">
      <x v="3"/>
    </i>
    <i r="1">
      <x v="4"/>
    </i>
    <i r="1">
      <x v="5"/>
    </i>
    <i>
      <x v="1"/>
      <x/>
    </i>
    <i r="1">
      <x v="1"/>
    </i>
    <i r="1">
      <x v="2"/>
    </i>
    <i r="1">
      <x v="3"/>
    </i>
    <i r="1">
      <x v="4"/>
    </i>
    <i r="1">
      <x v="5"/>
    </i>
    <i>
      <x v="2"/>
      <x/>
    </i>
    <i r="1">
      <x v="1"/>
    </i>
    <i r="1">
      <x v="2"/>
    </i>
    <i r="1">
      <x v="3"/>
    </i>
    <i r="1">
      <x v="4"/>
    </i>
    <i r="1">
      <x v="5"/>
    </i>
    <i t="grand">
      <x/>
    </i>
  </rowItems>
  <colFields count="1">
    <field x="-2"/>
  </colFields>
  <colItems count="3">
    <i>
      <x/>
    </i>
    <i i="1">
      <x v="1"/>
    </i>
    <i i="2">
      <x v="2"/>
    </i>
  </colItems>
  <dataFields count="3">
    <dataField name="Average of Food" fld="3" subtotal="average" baseField="1" baseItem="0"/>
    <dataField name="Average of Health" fld="4" subtotal="average" baseField="1" baseItem="0"/>
    <dataField name="Average of Essentital Services" fld="5" subtotal="average" baseField="1"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5272364-69AA-41C4-B3AB-A6172E866681}" name="Table2" displayName="Table2" ref="A1:AD373" totalsRowShown="0">
  <autoFilter ref="A1:AD373" xr:uid="{65272364-69AA-41C4-B3AB-A6172E866681}">
    <filterColumn colId="1">
      <filters>
        <filter val="2021"/>
        <filter val="2022"/>
        <filter val="2023"/>
      </filters>
    </filterColumn>
  </autoFilter>
  <tableColumns count="30">
    <tableColumn id="1" xr3:uid="{BE2CB11E-5060-4092-ADFA-D5E667CD450D}" name="Sector"/>
    <tableColumn id="2" xr3:uid="{E76CE075-5A1F-4EC2-8FFA-36799B08972B}" name="Year"/>
    <tableColumn id="3" xr3:uid="{90868F1B-BD87-48C0-8C62-2506826A685C}" name="Month"/>
    <tableColumn id="4" xr3:uid="{736D3F9C-3CF5-4958-8AD8-81DB05159EA9}" name="Cereals and products"/>
    <tableColumn id="5" xr3:uid="{7BA4D83F-E522-426E-953A-48A7B19B1B09}" name="Meat and fish"/>
    <tableColumn id="6" xr3:uid="{AAF9861D-7939-48AE-B95B-E486E6675BB7}" name="Egg"/>
    <tableColumn id="7" xr3:uid="{C3D71076-981B-4C8B-9C7E-917F9B52D147}" name="Milk and products"/>
    <tableColumn id="8" xr3:uid="{27640CFE-F7F8-455F-A465-1FCF26F38094}" name="Oils and fats"/>
    <tableColumn id="9" xr3:uid="{B4931810-928B-4E5B-9DC7-7040D1B73C51}" name="Fruits"/>
    <tableColumn id="10" xr3:uid="{90D801DD-9074-4AF1-A90F-3D71E1E82B92}" name="Vegetables"/>
    <tableColumn id="11" xr3:uid="{76BF9BBA-105C-41DA-877E-53D46D9620B6}" name="Pulses and products"/>
    <tableColumn id="12" xr3:uid="{11EC38AC-2AB7-4F35-93DE-8012023F3041}" name="Sugar and Confectionery"/>
    <tableColumn id="13" xr3:uid="{8C20995B-2D07-45F6-9F22-CE47D646CFE1}" name="Spices"/>
    <tableColumn id="14" xr3:uid="{EBF32B56-ADB6-4C99-8BE7-F0637DBD08C2}" name="Non-alcoholic beverages"/>
    <tableColumn id="15" xr3:uid="{7A5B1BFB-772E-4FE5-AF2B-96D50716E02E}" name="Prepared meals, snacks, sweets etc."/>
    <tableColumn id="16" xr3:uid="{3E22999C-5217-4234-94ED-F150667578AB}" name="Food and beverages"/>
    <tableColumn id="17" xr3:uid="{AEB09457-B988-4835-B545-411FEFC784C5}" name="Pan, tobacco and intoxicants"/>
    <tableColumn id="18" xr3:uid="{0DFF9450-7FD0-4905-ADD2-158ED710AA4D}" name="Clothing"/>
    <tableColumn id="19" xr3:uid="{CFF90981-2E15-492A-A5C1-9D50E51503E5}" name="Footwear"/>
    <tableColumn id="20" xr3:uid="{33578CE8-21E9-4D61-B2C6-DA1D103EE808}" name="Clothing and footwear"/>
    <tableColumn id="21" xr3:uid="{7CCAFC02-2F38-4BE1-913B-9616383EFBC1}" name="Housing"/>
    <tableColumn id="22" xr3:uid="{AE0EC261-06AE-4EEF-BCE3-52B899E918DD}" name="Fuel and light"/>
    <tableColumn id="23" xr3:uid="{D09D6310-830B-4B7D-AF24-B41B03A773AB}" name="Household goods and services"/>
    <tableColumn id="24" xr3:uid="{0E90E25E-16D8-498B-BD3F-592B5D196C6E}" name="Health"/>
    <tableColumn id="25" xr3:uid="{9DD72531-4402-4F15-8A8E-BF3E22B108C9}" name="Transport and communication"/>
    <tableColumn id="26" xr3:uid="{F4B52083-E619-4A39-A6D8-4F6599A3325A}" name="Recreation and amusement"/>
    <tableColumn id="27" xr3:uid="{BD7B0140-C0E1-4BBB-8AAF-4FBCD019F88A}" name="Education"/>
    <tableColumn id="28" xr3:uid="{E9813A4F-A4C6-4B08-9A5E-F2B7A24D19B4}" name="Personal care and effects"/>
    <tableColumn id="29" xr3:uid="{A0A8536E-0A8C-4F7E-92FA-0626D158847D}" name="Miscellaneous"/>
    <tableColumn id="30" xr3:uid="{D7BA71B0-46FC-4166-88E3-0CB809C22F18}" name="General index"/>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87B4A7A5-72E1-423F-854E-6900E4B1B8CD}" name="Table4" displayName="Table4" ref="H23:K36" totalsRowShown="0" headerRowDxfId="69" dataDxfId="68" tableBorderDxfId="67">
  <tableColumns count="4">
    <tableColumn id="1" xr3:uid="{85CF7B78-EC06-48BB-A53B-7B2AE34DEE2F}" name="New Category Mapped" dataDxfId="66"/>
    <tableColumn id="2" xr3:uid="{F8372DAB-DA34-4F62-8490-D4ED2D141B1C}" name="Rural%" dataDxfId="65" dataCellStyle="Percent"/>
    <tableColumn id="3" xr3:uid="{D48F8AB8-578E-4C12-A403-EE8FDD266076}" name="Urban%" dataDxfId="64" dataCellStyle="Percent"/>
    <tableColumn id="4" xr3:uid="{9227ABC9-5EBA-4188-8C11-EBB9D4EFEA28}" name="Rural+Urban%" dataDxfId="63" dataCellStyle="Percent"/>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AA25C501-2EE1-48A1-AD5C-B4272CFB6D2A}" name="Table5" displayName="Table5" ref="F75:G81" totalsRowShown="0" headerRowBorderDxfId="62" tableBorderDxfId="61" totalsRowBorderDxfId="60">
  <tableColumns count="2">
    <tableColumn id="1" xr3:uid="{52F3B9F8-FC88-4BE7-87B9-093788FA980E}" name="Year" dataDxfId="59"/>
    <tableColumn id="2" xr3:uid="{B6AB9AF6-FBBB-40B4-B42A-DC7EE04A8E0D}" name="Inflation Rate (YoY%)" dataDxfId="58" dataCellStyle="Percent"/>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CCFA672A-C749-462B-8ADB-F39EFB9A474A}" name="Table7" displayName="Table7" ref="H108:I121" totalsRowShown="0" headerRowDxfId="57" dataDxfId="56">
  <tableColumns count="2">
    <tableColumn id="1" xr3:uid="{84A36406-DE85-4774-B7DA-C2763F62D33E}" name="New Category mapped" dataDxfId="55"/>
    <tableColumn id="2" xr3:uid="{8A9CB00E-04DB-481A-9DAA-6D099AFCB542}" name="Inflation rate" dataDxfId="54" dataCellStyle="Percent"/>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8503DD0B-414B-410D-B034-AD5AE1E8D5C5}" name="Table8" displayName="Table8" ref="H124:J136" totalsRowShown="0" headerRowBorderDxfId="53" tableBorderDxfId="52" totalsRowBorderDxfId="51">
  <tableColumns count="3">
    <tableColumn id="1" xr3:uid="{5EE1DABD-F9A6-4BD2-8228-2B4328605F59}" name="Category" dataDxfId="50"/>
    <tableColumn id="2" xr3:uid="{ED5FA056-939D-4300-AC02-146F7C578951}" name="Inflation rate" dataDxfId="49" dataCellStyle="Percent"/>
    <tableColumn id="3" xr3:uid="{733092D1-48DC-4B92-B4CF-BCC480AA05AC}" name="New Category mapped" dataDxfId="48"/>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3081296-3D6A-46AD-AF5D-8AC4862E3437}" name="Table1" displayName="Table1" ref="R1:U13" totalsRowShown="0" headerRowDxfId="21" dataDxfId="22" headerRowBorderDxfId="47" tableBorderDxfId="46" totalsRowBorderDxfId="45">
  <tableColumns count="4">
    <tableColumn id="1" xr3:uid="{9E7FD262-E854-45B8-9CE9-855C3B8C5253}" name="Sector" dataDxfId="26"/>
    <tableColumn id="2" xr3:uid="{DDD511CB-0629-4FE6-91A3-BB7CF659B9B4}" name="Year" dataDxfId="25"/>
    <tableColumn id="3" xr3:uid="{FA7FB497-7A29-4F0D-B82C-720F7C2DFD0B}" name="Month" dataDxfId="24"/>
    <tableColumn id="4" xr3:uid="{2DD742F2-578D-4EA5-86F5-C89583ED970C}" name="MoM%" dataDxfId="23" dataCellStyle="Percent"/>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7389CF0C-6378-42DA-A460-8406D6811D7C}" name="Table6" displayName="Table6" ref="R18:U30" totalsRowShown="0" headerRowDxfId="44" dataDxfId="43">
  <tableColumns count="4">
    <tableColumn id="1" xr3:uid="{E6B769D6-2CBC-42C8-957F-6C769356EFC8}" name="Sector" dataDxfId="42"/>
    <tableColumn id="2" xr3:uid="{056DD359-44A1-4AA8-96A5-8836F3E9E195}" name="Year" dataDxfId="41"/>
    <tableColumn id="3" xr3:uid="{645211A3-49BC-4A91-9477-AED507978FA0}" name="Month" dataDxfId="40"/>
    <tableColumn id="4" xr3:uid="{2F80A38C-C29B-49B5-9000-BCCC574566C3}" name="MoM%" dataDxfId="39" dataCellStyle="Percent"/>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36955722-816D-4ADB-B417-202F461FC448}" name="Table9" displayName="Table9" ref="R34:U46" totalsRowShown="0" headerRowDxfId="38" dataDxfId="37">
  <tableColumns count="4">
    <tableColumn id="1" xr3:uid="{28EF6C60-E4E3-477C-98FB-A103B812BB16}" name="Sector" dataDxfId="36"/>
    <tableColumn id="2" xr3:uid="{980903A8-B73B-4199-AFC8-817DBEADF39E}" name="Year" dataDxfId="35"/>
    <tableColumn id="3" xr3:uid="{4F5B787F-B39F-4172-AF29-C6C6EF15F08E}" name="Month" dataDxfId="34"/>
    <tableColumn id="4" xr3:uid="{8F0CD4A4-84A9-4756-9EE9-998AC8E05BE7}" name="MoM%" dataDxfId="33" dataCellStyle="Percent"/>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4FE90A8F-B959-48E9-A5AF-E680F301ABC4}" name="Table10" displayName="Table10" ref="X18:AA31" totalsRowShown="0" headerRowDxfId="32" dataDxfId="31" dataCellStyle="Percent">
  <tableColumns count="4">
    <tableColumn id="1" xr3:uid="{55A3CDEA-87C8-4DE7-B2CC-B98C7934CBA8}" name="Category" dataDxfId="30"/>
    <tableColumn id="2" xr3:uid="{C18A207C-3956-4F8F-87DC-8A4D9DA3FC17}" name="Rural" dataDxfId="29" dataCellStyle="Percent"/>
    <tableColumn id="3" xr3:uid="{EFEC8506-774F-402E-9207-710920B62EAA}" name="Urban" dataDxfId="28" dataCellStyle="Percent"/>
    <tableColumn id="4" xr3:uid="{60CFD5E6-881D-4B96-AF6D-D76A99328D39}" name="Rural + Urban" dataDxfId="27" dataCellStyle="Percent"/>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B6F3CA4-996B-4A24-B867-237461E4C9BE}" name="Table3" displayName="Table3" ref="N3:T12" totalsRowShown="0" headerRowDxfId="13" dataDxfId="12" dataCellStyle="Percent">
  <autoFilter ref="N3:T12" xr:uid="{FB6F3CA4-996B-4A24-B867-237461E4C9BE}"/>
  <tableColumns count="7">
    <tableColumn id="1" xr3:uid="{82B4D44C-E673-409B-88D1-F850F1C3609B}" name="Sector" dataDxfId="20"/>
    <tableColumn id="2" xr3:uid="{FC3B5062-0FFA-479C-8D5E-26807ACC1EFA}" name="Category" dataDxfId="19"/>
    <tableColumn id="3" xr3:uid="{247B3071-8ED7-4C31-A6ED-7EB9A71BE6B8}" name="2018" dataDxfId="18" dataCellStyle="Percent"/>
    <tableColumn id="4" xr3:uid="{CCB68821-9DB9-43F3-A5D9-5247F8A810CB}" name="2019" dataDxfId="17" dataCellStyle="Percent"/>
    <tableColumn id="5" xr3:uid="{85DCD655-F234-4C5D-BF91-8F9F212066EF}" name="2020" dataDxfId="16" dataCellStyle="Percent"/>
    <tableColumn id="6" xr3:uid="{94929C64-C869-4A5E-8E7A-F99030472C9C}" name="2021" dataDxfId="15" dataCellStyle="Percent"/>
    <tableColumn id="7" xr3:uid="{13EB986C-3BDF-4743-927A-EC60D0A36C35}" name="2022" dataDxfId="14" dataCellStyle="Percent"/>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225D4820-8D4B-40CD-A2AC-E1931AE85FC0}" name="Table11" displayName="Table11" ref="A7:AF34" totalsRowShown="0">
  <tableColumns count="32">
    <tableColumn id="1" xr3:uid="{BD833564-6869-4307-968C-7F9C193F1EC8}" name="Category"/>
    <tableColumn id="2" xr3:uid="{DAECD3F2-7349-486D-BE8F-B951CC6AE449}" name="Sector" dataDxfId="11"/>
    <tableColumn id="3" xr3:uid="{F9E7797F-DDED-4F37-93DF-249FF9592D83}" name="New Category"/>
    <tableColumn id="4" xr3:uid="{DACCAFF4-B47B-42E6-9D00-D8755148326C}" name="Correlation" dataDxfId="10" dataCellStyle="Percent">
      <calculatedColumnFormula>CORREL($E$3:$AF$3,E8:AF8)</calculatedColumnFormula>
    </tableColumn>
    <tableColumn id="5" xr3:uid="{D23BA33B-68AE-4142-84D8-FB19F63DA94B}" name="December-2020"/>
    <tableColumn id="6" xr3:uid="{8750E92E-B4BE-44CC-A432-ECA24D7B29A0}" name="January-2021"/>
    <tableColumn id="7" xr3:uid="{DB0007C8-ED3C-4F21-B363-FD29580F9505}" name="February-2021"/>
    <tableColumn id="8" xr3:uid="{5EAF22C9-511C-47B3-A476-A47AB20D3D76}" name="March-2021"/>
    <tableColumn id="9" xr3:uid="{2A88F139-B124-4301-B07E-7CD4536EA19D}" name="April-2021"/>
    <tableColumn id="10" xr3:uid="{899D9CDA-572D-4E6E-A1E5-8B7F1FAE8F9D}" name="May-2021"/>
    <tableColumn id="11" xr3:uid="{26609129-BF62-4494-B8EE-295769475291}" name="June-2021"/>
    <tableColumn id="12" xr3:uid="{58A9B20B-92DA-443F-9D0F-62A5F8365088}" name="July-2021"/>
    <tableColumn id="13" xr3:uid="{B6965504-3393-41D5-83D1-B484E37C1F0E}" name="August-2021"/>
    <tableColumn id="14" xr3:uid="{06AB43C4-E8C9-4B8E-8F91-73C57AA88212}" name="September-2021"/>
    <tableColumn id="15" xr3:uid="{9E830EC1-A6E8-4B4F-9EF9-5AFA327A8B4F}" name="October-2021"/>
    <tableColumn id="16" xr3:uid="{E5FA5339-B64E-4AD9-B5D4-9A7AF3DAB96D}" name="November-2021"/>
    <tableColumn id="17" xr3:uid="{81889A3A-86CC-4527-AA13-08E3CDA7C237}" name="December-2021"/>
    <tableColumn id="18" xr3:uid="{B70D7C95-6591-4D22-BCC2-782A1C943D35}" name="January-2022"/>
    <tableColumn id="19" xr3:uid="{DD89B1E8-6FBF-4378-9268-80AC2AB92307}" name="February-2022"/>
    <tableColumn id="20" xr3:uid="{B5869FDE-3260-496C-989C-01FF10D0B3E0}" name="March-2022"/>
    <tableColumn id="21" xr3:uid="{82AFAE3F-C9B2-423E-9DD1-824D50E2823F}" name="April-2022"/>
    <tableColumn id="22" xr3:uid="{15F438CE-E420-42A9-B5AE-76CEFDDBC8B6}" name="May-2022"/>
    <tableColumn id="23" xr3:uid="{691850E7-F581-4028-BDD9-E416F0E8598B}" name="June-2022"/>
    <tableColumn id="24" xr3:uid="{4C6AFE5B-2AF4-4301-8E60-BD54E3744617}" name="July-2022"/>
    <tableColumn id="25" xr3:uid="{D47A5357-68B8-4C26-8906-3B2BC17375EC}" name="August-2022"/>
    <tableColumn id="26" xr3:uid="{E7A4EF0E-30EE-48BF-A8E8-36DD612F975D}" name="September-2022"/>
    <tableColumn id="27" xr3:uid="{7D745F6E-D83A-4103-99FB-0FE69466B2A9}" name="October-2022"/>
    <tableColumn id="28" xr3:uid="{6F4D886C-62BD-4C8F-8E7D-D6BE5B44EE6D}" name="November-2022"/>
    <tableColumn id="29" xr3:uid="{5AB38DBF-AFCE-4104-B0D0-6E12B0B47042}" name="December-2022"/>
    <tableColumn id="30" xr3:uid="{961BFF16-CDF8-482E-AC2C-85ADEF134F7D}" name="January-2023"/>
    <tableColumn id="31" xr3:uid="{FC8E5E65-0500-4E7C-93FF-52FAEF4093FA}" name="February-2023"/>
    <tableColumn id="32" xr3:uid="{A26DEACE-AE0A-4B6D-810B-CDE2660D0026}" name="March-2023"/>
  </tableColumns>
  <tableStyleInfo name="TableStyleMedium2"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F3A96573-A3EF-463B-B432-37646BD8574F}" name="Table12" displayName="Table12" ref="A41:AF68" totalsRowShown="0">
  <tableColumns count="32">
    <tableColumn id="1" xr3:uid="{2C227B48-E108-45AE-97D6-D4BB3C2E550B}" name="Category"/>
    <tableColumn id="2" xr3:uid="{8F694154-D8D5-4C22-9C2F-EE09D7690179}" name="Sector" dataDxfId="9"/>
    <tableColumn id="3" xr3:uid="{CE4275BD-BCB5-4E0C-A9D4-24673FAB6AC8}" name="New Category"/>
    <tableColumn id="4" xr3:uid="{FC6D8110-2F10-4F50-8B0A-56C3FA1ABCAB}" name="Correlation" dataDxfId="8" dataCellStyle="Percent">
      <calculatedColumnFormula>CORREL($E$3:$AF$3,E42:AF42)</calculatedColumnFormula>
    </tableColumn>
    <tableColumn id="5" xr3:uid="{D54D8739-25D8-4782-A2CD-B5DB345386C9}" name="December-2020"/>
    <tableColumn id="6" xr3:uid="{1C583F82-87B6-4245-979E-E3C1801D090F}" name="January-2021"/>
    <tableColumn id="7" xr3:uid="{B9EFA196-BFC7-44BD-AB28-1974C07913DB}" name="February-2021"/>
    <tableColumn id="8" xr3:uid="{7FE5A98F-D319-4AEA-B1DB-A1E0E01EEF70}" name="March-2021"/>
    <tableColumn id="9" xr3:uid="{DC1283E1-E0BA-4D5C-BB15-02DF34B8F691}" name="April-2021"/>
    <tableColumn id="10" xr3:uid="{C5C55DA8-83C2-4EB8-91AC-6ABB314B5ECA}" name="May-2021"/>
    <tableColumn id="11" xr3:uid="{4A9B38E6-1D73-4FFD-930C-B6B673260886}" name="June-2021"/>
    <tableColumn id="12" xr3:uid="{81612453-1AFB-44A8-B057-CD1B297F7D55}" name="July-2021"/>
    <tableColumn id="13" xr3:uid="{14C36852-EF09-495E-BD1B-0CCEF9F11531}" name="August-2021"/>
    <tableColumn id="14" xr3:uid="{99A3203F-E385-4F90-B6E3-114838220D83}" name="September-2021"/>
    <tableColumn id="15" xr3:uid="{285E8952-57E8-47C7-8582-7FFA7FE7620A}" name="October-2021"/>
    <tableColumn id="16" xr3:uid="{9870C55E-A17B-454C-B763-950921034B1C}" name="November-2021"/>
    <tableColumn id="17" xr3:uid="{84670953-C8B9-4D1C-85C9-5406513C04D6}" name="December-2021"/>
    <tableColumn id="18" xr3:uid="{60C0FB05-5CFD-4664-B622-B612733FC06A}" name="January-2022"/>
    <tableColumn id="19" xr3:uid="{F3F8A296-ABF1-4193-A30D-00D91B6F56E0}" name="February-2022"/>
    <tableColumn id="20" xr3:uid="{D3628EF2-D0AB-4CEC-9699-89475EF66A2E}" name="March-2022"/>
    <tableColumn id="21" xr3:uid="{2148228F-551B-4462-8787-BFA32D8D1CA9}" name="April-2022"/>
    <tableColumn id="22" xr3:uid="{1F38487E-AA66-40A8-9829-0E37199E4FD7}" name="May-2022"/>
    <tableColumn id="23" xr3:uid="{BD8B3108-6B59-4FCE-9E78-3FB9B1006F66}" name="June-2022"/>
    <tableColumn id="24" xr3:uid="{9CAA93A0-B134-4059-A055-72D539B86272}" name="July-2022"/>
    <tableColumn id="25" xr3:uid="{423A7F07-E9E4-48DC-807F-AC0D8E075A0C}" name="August-2022"/>
    <tableColumn id="26" xr3:uid="{44557ED7-9E7A-48C5-8493-32F41514CCCA}" name="September-2022"/>
    <tableColumn id="27" xr3:uid="{6A5FFC99-8F8E-45FF-AAA1-1F6ADF5F020C}" name="October-2022"/>
    <tableColumn id="28" xr3:uid="{C7BE3910-0382-4EB3-ADAD-BC1EE6995283}" name="November-2022"/>
    <tableColumn id="29" xr3:uid="{C03357AB-E864-4749-B88B-0CDD83801B97}" name="December-2022"/>
    <tableColumn id="30" xr3:uid="{A90DC9C9-C5AE-469C-8709-138DF1DE16AE}" name="January-2023"/>
    <tableColumn id="31" xr3:uid="{7ACFB722-5280-4E1E-92DF-F777EEF2D52D}" name="February-2023"/>
    <tableColumn id="32" xr3:uid="{8C39A3E9-7715-43E6-825C-F8B9F4EA4ABF}" name="March-2023"/>
  </tableColumns>
  <tableStyleInfo name="TableStyleMedium2"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3C72EAE2-B58C-4623-9D3B-2CBD0115FC43}" name="Table13" displayName="Table13" ref="A73:AF100" totalsRowShown="0">
  <tableColumns count="32">
    <tableColumn id="1" xr3:uid="{159F6661-D943-4154-B2C4-3DAD6FEAE386}" name="Category"/>
    <tableColumn id="2" xr3:uid="{AD7D3F50-4DAC-4D32-AF3B-B5401CCE4905}" name="Sector" dataDxfId="7"/>
    <tableColumn id="3" xr3:uid="{1573CD14-970A-43C3-8978-B81B4D3CB096}" name="New Category"/>
    <tableColumn id="4" xr3:uid="{3A03A0F2-E26E-4A70-94CE-33BE313A1BBB}" name="Correlation" dataDxfId="6" dataCellStyle="Percent">
      <calculatedColumnFormula>CORREL($E$3:$AF$3,E74:AF74)</calculatedColumnFormula>
    </tableColumn>
    <tableColumn id="5" xr3:uid="{C3FABE25-870D-41BE-8B6D-76B421F9F0E1}" name="December-2020"/>
    <tableColumn id="6" xr3:uid="{CBF53CE8-4539-4BD3-913F-61E07F4A3392}" name="January-2021"/>
    <tableColumn id="7" xr3:uid="{856BDFA1-5566-4BF2-B13E-F725ABCBF2AF}" name="February-2021"/>
    <tableColumn id="8" xr3:uid="{13D77A79-CC38-4EEE-AB5F-28BC8E7A1D71}" name="March-2021"/>
    <tableColumn id="9" xr3:uid="{58BDA300-81B6-468A-984B-13EAE3F9DB7F}" name="April-2021"/>
    <tableColumn id="10" xr3:uid="{E486AC56-CB7F-42A1-A557-A5DBC88B5E41}" name="May-2021"/>
    <tableColumn id="11" xr3:uid="{A30B8E2E-8156-4AD6-8537-20AEFD458807}" name="June-2021"/>
    <tableColumn id="12" xr3:uid="{67DB2DCE-0B19-4032-A5C1-588E57770876}" name="July-2021"/>
    <tableColumn id="13" xr3:uid="{2694D248-37D1-46B1-B79E-2E49391FFD64}" name="August-2021"/>
    <tableColumn id="14" xr3:uid="{0B1CA5F8-ED94-4A13-B2A9-89DEEAA884AA}" name="September-2021"/>
    <tableColumn id="15" xr3:uid="{BAA4F6A6-9EE7-47F7-8681-B3257FF3022A}" name="October-2021"/>
    <tableColumn id="16" xr3:uid="{B4079853-C83F-4F0B-87AC-F43035B3D6C1}" name="November-2021"/>
    <tableColumn id="17" xr3:uid="{EAD6D640-7E1A-40B0-AEF9-2CDEF1607A02}" name="December-2021"/>
    <tableColumn id="18" xr3:uid="{1B857B15-D787-4F1F-B5F4-88BAF9D52DE8}" name="January-2022"/>
    <tableColumn id="19" xr3:uid="{56BF3F50-6872-41EB-BAC7-6229FC301520}" name="February-2022"/>
    <tableColumn id="20" xr3:uid="{4C60EBB3-291F-436B-83DE-7C1ECFD110D3}" name="March-2022"/>
    <tableColumn id="21" xr3:uid="{C93A92A5-8D42-4252-90CD-DF30C3863412}" name="April-2022"/>
    <tableColumn id="22" xr3:uid="{A9A6264F-4EBD-49BE-9C54-A5DF849B87A7}" name="May-2022"/>
    <tableColumn id="23" xr3:uid="{7D390198-4356-4A0B-9EA0-602F56238787}" name="June-2022"/>
    <tableColumn id="24" xr3:uid="{DD1137D2-B95E-44E7-AFC3-70C6EA89E410}" name="July-2022"/>
    <tableColumn id="25" xr3:uid="{67F0FD3E-FA07-4189-80DE-07170811FD69}" name="August-2022"/>
    <tableColumn id="26" xr3:uid="{9B99539E-FDE6-4C73-91C7-9553E09C3E35}" name="September-2022"/>
    <tableColumn id="27" xr3:uid="{BCD35C3B-883B-4B24-B4B2-724B4DEE0104}" name="October-2022"/>
    <tableColumn id="28" xr3:uid="{8E15F927-7E49-4B47-B6CA-397F2CBB2DF0}" name="November-2022"/>
    <tableColumn id="29" xr3:uid="{CFB3E50B-8C80-4900-9FA8-10D3B25EBDC1}" name="December-2022"/>
    <tableColumn id="30" xr3:uid="{61259065-13E1-444B-9CB3-D14074AD1992}" name="January-2023"/>
    <tableColumn id="31" xr3:uid="{F7225E85-A54B-4691-AF78-BDA3147B01EA}" name="February-2023"/>
    <tableColumn id="32" xr3:uid="{DF6E4358-2F3D-4D5B-B970-E44029611D5A}" name="March-2023"/>
  </tableColumns>
  <tableStyleInfo name="TableStyleMedium2"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67CB7D4-25A1-4EA0-807E-0CC82BA6FE63}" name="Table14" displayName="Table14" ref="AI7:AL34" totalsRowShown="0" headerRowDxfId="0" dataDxfId="1" dataCellStyle="Percent">
  <tableColumns count="4">
    <tableColumn id="1" xr3:uid="{BE72425B-AF0D-4903-816D-3A9B583CE59F}" name="Category" dataDxfId="5"/>
    <tableColumn id="2" xr3:uid="{C32510B6-F04F-4A5A-8699-5950FA0AC4E8}" name="Rural" dataDxfId="4" dataCellStyle="Percent"/>
    <tableColumn id="3" xr3:uid="{12A69AF1-3DA4-4C54-9051-C13494C7335B}" name="Rural+Urban" dataDxfId="3" dataCellStyle="Percent"/>
    <tableColumn id="4" xr3:uid="{5C1F2CB7-BBC7-42E1-9F44-4C04B7647DBE}" name="Urban" dataDxfId="2" dataCellStyle="Percent"/>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drawing" Target="../drawings/drawing2.xml"/><Relationship Id="rId1" Type="http://schemas.openxmlformats.org/officeDocument/2006/relationships/pivotTable" Target="../pivotTables/pivotTable1.xml"/><Relationship Id="rId5" Type="http://schemas.openxmlformats.org/officeDocument/2006/relationships/table" Target="../tables/table5.xml"/><Relationship Id="rId4" Type="http://schemas.openxmlformats.org/officeDocument/2006/relationships/table" Target="../tables/table4.xml"/></Relationships>
</file>

<file path=xl/worksheets/_rels/sheet5.xml.rels><?xml version="1.0" encoding="UTF-8" standalone="yes"?>
<Relationships xmlns="http://schemas.openxmlformats.org/package/2006/relationships"><Relationship Id="rId3" Type="http://schemas.openxmlformats.org/officeDocument/2006/relationships/table" Target="../tables/table7.xml"/><Relationship Id="rId2" Type="http://schemas.openxmlformats.org/officeDocument/2006/relationships/table" Target="../tables/table6.xml"/><Relationship Id="rId1" Type="http://schemas.openxmlformats.org/officeDocument/2006/relationships/drawing" Target="../drawings/drawing3.xml"/><Relationship Id="rId5" Type="http://schemas.openxmlformats.org/officeDocument/2006/relationships/table" Target="../tables/table9.xml"/><Relationship Id="rId4" Type="http://schemas.openxmlformats.org/officeDocument/2006/relationships/table" Target="../tables/table8.xml"/></Relationships>
</file>

<file path=xl/worksheets/_rels/sheet6.xml.rels><?xml version="1.0" encoding="UTF-8" standalone="yes"?>
<Relationships xmlns="http://schemas.openxmlformats.org/package/2006/relationships"><Relationship Id="rId3" Type="http://schemas.openxmlformats.org/officeDocument/2006/relationships/table" Target="../tables/table10.xml"/><Relationship Id="rId2" Type="http://schemas.openxmlformats.org/officeDocument/2006/relationships/drawing" Target="../drawings/drawing4.xml"/><Relationship Id="rId1" Type="http://schemas.openxmlformats.org/officeDocument/2006/relationships/pivotTable" Target="../pivotTables/pivotTable2.xml"/></Relationships>
</file>

<file path=xl/worksheets/_rels/sheet7.xml.rels><?xml version="1.0" encoding="UTF-8" standalone="yes"?>
<Relationships xmlns="http://schemas.openxmlformats.org/package/2006/relationships"><Relationship Id="rId3" Type="http://schemas.openxmlformats.org/officeDocument/2006/relationships/table" Target="../tables/table12.xml"/><Relationship Id="rId2" Type="http://schemas.openxmlformats.org/officeDocument/2006/relationships/table" Target="../tables/table11.xml"/><Relationship Id="rId1" Type="http://schemas.openxmlformats.org/officeDocument/2006/relationships/drawing" Target="../drawings/drawing5.xml"/><Relationship Id="rId5" Type="http://schemas.openxmlformats.org/officeDocument/2006/relationships/table" Target="../tables/table14.xml"/><Relationship Id="rId4" Type="http://schemas.openxmlformats.org/officeDocument/2006/relationships/table" Target="../tables/table13.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E1131A-658D-4202-8FC0-282C7B45AA13}">
  <dimension ref="A1:AD373"/>
  <sheetViews>
    <sheetView topLeftCell="T349" workbookViewId="0">
      <selection sqref="A1:AD373"/>
    </sheetView>
  </sheetViews>
  <sheetFormatPr defaultRowHeight="14.4" x14ac:dyDescent="0.3"/>
  <cols>
    <col min="4" max="4" width="20.44140625" customWidth="1"/>
    <col min="5" max="5" width="14.44140625" customWidth="1"/>
    <col min="7" max="7" width="18.109375" customWidth="1"/>
    <col min="8" max="8" width="13.109375" customWidth="1"/>
    <col min="10" max="10" width="12.109375" customWidth="1"/>
    <col min="11" max="11" width="19.6640625" customWidth="1"/>
    <col min="12" max="12" width="23.6640625" customWidth="1"/>
    <col min="14" max="14" width="23.5546875" customWidth="1"/>
    <col min="15" max="15" width="32.6640625" customWidth="1"/>
    <col min="16" max="16" width="19.77734375" customWidth="1"/>
    <col min="17" max="17" width="27.109375" customWidth="1"/>
    <col min="18" max="18" width="9.88671875" customWidth="1"/>
    <col min="19" max="19" width="10.77734375" customWidth="1"/>
    <col min="20" max="20" width="21.6640625" customWidth="1"/>
    <col min="21" max="21" width="9.6640625" customWidth="1"/>
    <col min="22" max="22" width="14.109375" customWidth="1"/>
    <col min="23" max="23" width="28.109375" customWidth="1"/>
    <col min="25" max="25" width="28.33203125" customWidth="1"/>
    <col min="26" max="26" width="26" customWidth="1"/>
    <col min="27" max="27" width="11.33203125" customWidth="1"/>
    <col min="28" max="28" width="23.88671875" customWidth="1"/>
    <col min="29" max="29" width="14.77734375" customWidth="1"/>
    <col min="30" max="30" width="14.33203125" customWidth="1"/>
  </cols>
  <sheetData>
    <row r="1" spans="1:30"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row>
    <row r="2" spans="1:30" hidden="1" x14ac:dyDescent="0.3">
      <c r="A2" t="s">
        <v>30</v>
      </c>
      <c r="B2">
        <v>2013</v>
      </c>
      <c r="C2" t="s">
        <v>31</v>
      </c>
      <c r="D2">
        <v>107.5</v>
      </c>
      <c r="E2">
        <v>106.3</v>
      </c>
      <c r="F2">
        <v>108.1</v>
      </c>
      <c r="G2">
        <v>104.9</v>
      </c>
      <c r="H2">
        <v>106.1</v>
      </c>
      <c r="I2">
        <v>103.9</v>
      </c>
      <c r="J2">
        <v>101.9</v>
      </c>
      <c r="K2">
        <v>106.1</v>
      </c>
      <c r="L2">
        <v>106.8</v>
      </c>
      <c r="M2">
        <v>103.1</v>
      </c>
      <c r="N2">
        <v>104.8</v>
      </c>
      <c r="O2">
        <v>106.7</v>
      </c>
      <c r="P2">
        <v>105.5</v>
      </c>
      <c r="Q2">
        <v>105.1</v>
      </c>
      <c r="R2">
        <v>106.5</v>
      </c>
      <c r="S2">
        <v>105.8</v>
      </c>
      <c r="T2">
        <v>106.4</v>
      </c>
      <c r="U2" t="s">
        <v>32</v>
      </c>
      <c r="V2">
        <v>105.5</v>
      </c>
      <c r="W2">
        <v>104.8</v>
      </c>
      <c r="X2">
        <v>104</v>
      </c>
      <c r="Y2">
        <v>103.3</v>
      </c>
      <c r="Z2">
        <v>103.4</v>
      </c>
      <c r="AA2">
        <v>103.8</v>
      </c>
      <c r="AB2">
        <v>104.7</v>
      </c>
      <c r="AC2">
        <v>104</v>
      </c>
      <c r="AD2">
        <v>105.1</v>
      </c>
    </row>
    <row r="3" spans="1:30" hidden="1" x14ac:dyDescent="0.3">
      <c r="A3" t="s">
        <v>33</v>
      </c>
      <c r="B3">
        <v>2013</v>
      </c>
      <c r="C3" t="s">
        <v>31</v>
      </c>
      <c r="D3">
        <v>110.5</v>
      </c>
      <c r="E3">
        <v>109.1</v>
      </c>
      <c r="F3">
        <v>113</v>
      </c>
      <c r="G3">
        <v>103.6</v>
      </c>
      <c r="H3">
        <v>103.4</v>
      </c>
      <c r="I3">
        <v>102.3</v>
      </c>
      <c r="J3">
        <v>102.9</v>
      </c>
      <c r="K3">
        <v>105.8</v>
      </c>
      <c r="L3">
        <v>105.1</v>
      </c>
      <c r="M3">
        <v>101.8</v>
      </c>
      <c r="N3">
        <v>105.1</v>
      </c>
      <c r="O3">
        <v>107.9</v>
      </c>
      <c r="P3">
        <v>105.9</v>
      </c>
      <c r="Q3">
        <v>105.2</v>
      </c>
      <c r="R3">
        <v>105.9</v>
      </c>
      <c r="S3">
        <v>105</v>
      </c>
      <c r="T3">
        <v>105.8</v>
      </c>
      <c r="U3">
        <v>100.3</v>
      </c>
      <c r="V3">
        <v>105.4</v>
      </c>
      <c r="W3">
        <v>104.8</v>
      </c>
      <c r="X3">
        <v>104.1</v>
      </c>
      <c r="Y3">
        <v>103.2</v>
      </c>
      <c r="Z3">
        <v>102.9</v>
      </c>
      <c r="AA3">
        <v>103.5</v>
      </c>
      <c r="AB3">
        <v>104.3</v>
      </c>
      <c r="AC3">
        <v>103.7</v>
      </c>
      <c r="AD3">
        <v>104</v>
      </c>
    </row>
    <row r="4" spans="1:30" hidden="1" x14ac:dyDescent="0.3">
      <c r="A4" t="s">
        <v>34</v>
      </c>
      <c r="B4">
        <v>2013</v>
      </c>
      <c r="C4" t="s">
        <v>31</v>
      </c>
      <c r="D4">
        <v>108.4</v>
      </c>
      <c r="E4">
        <v>107.3</v>
      </c>
      <c r="F4">
        <v>110</v>
      </c>
      <c r="G4">
        <v>104.4</v>
      </c>
      <c r="H4">
        <v>105.1</v>
      </c>
      <c r="I4">
        <v>103.2</v>
      </c>
      <c r="J4">
        <v>102.2</v>
      </c>
      <c r="K4">
        <v>106</v>
      </c>
      <c r="L4">
        <v>106.2</v>
      </c>
      <c r="M4">
        <v>102.7</v>
      </c>
      <c r="N4">
        <v>104.9</v>
      </c>
      <c r="O4">
        <v>107.3</v>
      </c>
      <c r="P4">
        <v>105.6</v>
      </c>
      <c r="Q4">
        <v>105.1</v>
      </c>
      <c r="R4">
        <v>106.3</v>
      </c>
      <c r="S4">
        <v>105.5</v>
      </c>
      <c r="T4">
        <v>106.2</v>
      </c>
      <c r="U4">
        <v>100.3</v>
      </c>
      <c r="V4">
        <v>105.5</v>
      </c>
      <c r="W4">
        <v>104.8</v>
      </c>
      <c r="X4">
        <v>104</v>
      </c>
      <c r="Y4">
        <v>103.2</v>
      </c>
      <c r="Z4">
        <v>103.1</v>
      </c>
      <c r="AA4">
        <v>103.6</v>
      </c>
      <c r="AB4">
        <v>104.5</v>
      </c>
      <c r="AC4">
        <v>103.9</v>
      </c>
      <c r="AD4">
        <v>104.6</v>
      </c>
    </row>
    <row r="5" spans="1:30" hidden="1" x14ac:dyDescent="0.3">
      <c r="A5" t="s">
        <v>30</v>
      </c>
      <c r="B5">
        <v>2013</v>
      </c>
      <c r="C5" t="s">
        <v>35</v>
      </c>
      <c r="D5">
        <v>109.2</v>
      </c>
      <c r="E5">
        <v>108.7</v>
      </c>
      <c r="F5">
        <v>110.2</v>
      </c>
      <c r="G5">
        <v>105.4</v>
      </c>
      <c r="H5">
        <v>106.7</v>
      </c>
      <c r="I5">
        <v>104</v>
      </c>
      <c r="J5">
        <v>102.4</v>
      </c>
      <c r="K5">
        <v>105.9</v>
      </c>
      <c r="L5">
        <v>105.7</v>
      </c>
      <c r="M5">
        <v>103.1</v>
      </c>
      <c r="N5">
        <v>105.1</v>
      </c>
      <c r="O5">
        <v>107.7</v>
      </c>
      <c r="P5">
        <v>106.3</v>
      </c>
      <c r="Q5">
        <v>105.6</v>
      </c>
      <c r="R5">
        <v>107.1</v>
      </c>
      <c r="S5">
        <v>106.3</v>
      </c>
      <c r="T5">
        <v>107</v>
      </c>
      <c r="U5" t="s">
        <v>32</v>
      </c>
      <c r="V5">
        <v>106.2</v>
      </c>
      <c r="W5">
        <v>105.2</v>
      </c>
      <c r="X5">
        <v>104.4</v>
      </c>
      <c r="Y5">
        <v>103.9</v>
      </c>
      <c r="Z5">
        <v>104</v>
      </c>
      <c r="AA5">
        <v>104.1</v>
      </c>
      <c r="AB5">
        <v>104.6</v>
      </c>
      <c r="AC5">
        <v>104.4</v>
      </c>
      <c r="AD5">
        <v>105.8</v>
      </c>
    </row>
    <row r="6" spans="1:30" hidden="1" x14ac:dyDescent="0.3">
      <c r="A6" t="s">
        <v>33</v>
      </c>
      <c r="B6">
        <v>2013</v>
      </c>
      <c r="C6" t="s">
        <v>35</v>
      </c>
      <c r="D6">
        <v>112.9</v>
      </c>
      <c r="E6">
        <v>112.9</v>
      </c>
      <c r="F6">
        <v>116.9</v>
      </c>
      <c r="G6">
        <v>104</v>
      </c>
      <c r="H6">
        <v>103.5</v>
      </c>
      <c r="I6">
        <v>103.1</v>
      </c>
      <c r="J6">
        <v>104.9</v>
      </c>
      <c r="K6">
        <v>104.1</v>
      </c>
      <c r="L6">
        <v>103.8</v>
      </c>
      <c r="M6">
        <v>102.3</v>
      </c>
      <c r="N6">
        <v>106</v>
      </c>
      <c r="O6">
        <v>109</v>
      </c>
      <c r="P6">
        <v>107.2</v>
      </c>
      <c r="Q6">
        <v>106</v>
      </c>
      <c r="R6">
        <v>106.6</v>
      </c>
      <c r="S6">
        <v>105.5</v>
      </c>
      <c r="T6">
        <v>106.4</v>
      </c>
      <c r="U6">
        <v>100.4</v>
      </c>
      <c r="V6">
        <v>105.7</v>
      </c>
      <c r="W6">
        <v>105.2</v>
      </c>
      <c r="X6">
        <v>104.7</v>
      </c>
      <c r="Y6">
        <v>104.4</v>
      </c>
      <c r="Z6">
        <v>103.3</v>
      </c>
      <c r="AA6">
        <v>103.7</v>
      </c>
      <c r="AB6">
        <v>104.3</v>
      </c>
      <c r="AC6">
        <v>104.3</v>
      </c>
      <c r="AD6">
        <v>104.7</v>
      </c>
    </row>
    <row r="7" spans="1:30" hidden="1" x14ac:dyDescent="0.3">
      <c r="A7" t="s">
        <v>34</v>
      </c>
      <c r="B7">
        <v>2013</v>
      </c>
      <c r="C7" t="s">
        <v>35</v>
      </c>
      <c r="D7">
        <v>110.4</v>
      </c>
      <c r="E7">
        <v>110.2</v>
      </c>
      <c r="F7">
        <v>112.8</v>
      </c>
      <c r="G7">
        <v>104.9</v>
      </c>
      <c r="H7">
        <v>105.5</v>
      </c>
      <c r="I7">
        <v>103.6</v>
      </c>
      <c r="J7">
        <v>103.2</v>
      </c>
      <c r="K7">
        <v>105.3</v>
      </c>
      <c r="L7">
        <v>105.1</v>
      </c>
      <c r="M7">
        <v>102.8</v>
      </c>
      <c r="N7">
        <v>105.5</v>
      </c>
      <c r="O7">
        <v>108.3</v>
      </c>
      <c r="P7">
        <v>106.6</v>
      </c>
      <c r="Q7">
        <v>105.7</v>
      </c>
      <c r="R7">
        <v>106.9</v>
      </c>
      <c r="S7">
        <v>106</v>
      </c>
      <c r="T7">
        <v>106.8</v>
      </c>
      <c r="U7">
        <v>100.4</v>
      </c>
      <c r="V7">
        <v>106</v>
      </c>
      <c r="W7">
        <v>105.2</v>
      </c>
      <c r="X7">
        <v>104.5</v>
      </c>
      <c r="Y7">
        <v>104.2</v>
      </c>
      <c r="Z7">
        <v>103.6</v>
      </c>
      <c r="AA7">
        <v>103.9</v>
      </c>
      <c r="AB7">
        <v>104.5</v>
      </c>
      <c r="AC7">
        <v>104.4</v>
      </c>
      <c r="AD7">
        <v>105.3</v>
      </c>
    </row>
    <row r="8" spans="1:30" hidden="1" x14ac:dyDescent="0.3">
      <c r="A8" t="s">
        <v>30</v>
      </c>
      <c r="B8">
        <v>2013</v>
      </c>
      <c r="C8" t="s">
        <v>36</v>
      </c>
      <c r="D8">
        <v>110.2</v>
      </c>
      <c r="E8">
        <v>108.8</v>
      </c>
      <c r="F8">
        <v>109.9</v>
      </c>
      <c r="G8">
        <v>105.6</v>
      </c>
      <c r="H8">
        <v>106.2</v>
      </c>
      <c r="I8">
        <v>105.7</v>
      </c>
      <c r="J8">
        <v>101.4</v>
      </c>
      <c r="K8">
        <v>105.7</v>
      </c>
      <c r="L8">
        <v>105</v>
      </c>
      <c r="M8">
        <v>103.3</v>
      </c>
      <c r="N8">
        <v>105.6</v>
      </c>
      <c r="O8">
        <v>108.2</v>
      </c>
      <c r="P8">
        <v>106.6</v>
      </c>
      <c r="Q8">
        <v>106.5</v>
      </c>
      <c r="R8">
        <v>107.6</v>
      </c>
      <c r="S8">
        <v>106.8</v>
      </c>
      <c r="T8">
        <v>107.5</v>
      </c>
      <c r="U8" t="s">
        <v>32</v>
      </c>
      <c r="V8">
        <v>106.1</v>
      </c>
      <c r="W8">
        <v>105.6</v>
      </c>
      <c r="X8">
        <v>104.7</v>
      </c>
      <c r="Y8">
        <v>104.6</v>
      </c>
      <c r="Z8">
        <v>104</v>
      </c>
      <c r="AA8">
        <v>104.3</v>
      </c>
      <c r="AB8">
        <v>104.3</v>
      </c>
      <c r="AC8">
        <v>104.6</v>
      </c>
      <c r="AD8">
        <v>106</v>
      </c>
    </row>
    <row r="9" spans="1:30" hidden="1" x14ac:dyDescent="0.3">
      <c r="A9" t="s">
        <v>33</v>
      </c>
      <c r="B9">
        <v>2013</v>
      </c>
      <c r="C9" t="s">
        <v>36</v>
      </c>
      <c r="D9">
        <v>113.9</v>
      </c>
      <c r="E9">
        <v>111.4</v>
      </c>
      <c r="F9">
        <v>113.2</v>
      </c>
      <c r="G9">
        <v>104.3</v>
      </c>
      <c r="H9">
        <v>102.7</v>
      </c>
      <c r="I9">
        <v>104.9</v>
      </c>
      <c r="J9">
        <v>103.8</v>
      </c>
      <c r="K9">
        <v>103.5</v>
      </c>
      <c r="L9">
        <v>102.6</v>
      </c>
      <c r="M9">
        <v>102.4</v>
      </c>
      <c r="N9">
        <v>107</v>
      </c>
      <c r="O9">
        <v>109.8</v>
      </c>
      <c r="P9">
        <v>107.3</v>
      </c>
      <c r="Q9">
        <v>106.8</v>
      </c>
      <c r="R9">
        <v>107.2</v>
      </c>
      <c r="S9">
        <v>106</v>
      </c>
      <c r="T9">
        <v>107</v>
      </c>
      <c r="U9">
        <v>100.4</v>
      </c>
      <c r="V9">
        <v>106</v>
      </c>
      <c r="W9">
        <v>105.7</v>
      </c>
      <c r="X9">
        <v>105.2</v>
      </c>
      <c r="Y9">
        <v>105.5</v>
      </c>
      <c r="Z9">
        <v>103.5</v>
      </c>
      <c r="AA9">
        <v>103.8</v>
      </c>
      <c r="AB9">
        <v>104.2</v>
      </c>
      <c r="AC9">
        <v>104.9</v>
      </c>
      <c r="AD9">
        <v>105</v>
      </c>
    </row>
    <row r="10" spans="1:30" hidden="1" x14ac:dyDescent="0.3">
      <c r="A10" t="s">
        <v>34</v>
      </c>
      <c r="B10">
        <v>2013</v>
      </c>
      <c r="C10" t="s">
        <v>36</v>
      </c>
      <c r="D10">
        <v>111.4</v>
      </c>
      <c r="E10">
        <v>109.7</v>
      </c>
      <c r="F10">
        <v>111.2</v>
      </c>
      <c r="G10">
        <v>105.1</v>
      </c>
      <c r="H10">
        <v>104.9</v>
      </c>
      <c r="I10">
        <v>105.3</v>
      </c>
      <c r="J10">
        <v>102.2</v>
      </c>
      <c r="K10">
        <v>105</v>
      </c>
      <c r="L10">
        <v>104.2</v>
      </c>
      <c r="M10">
        <v>103</v>
      </c>
      <c r="N10">
        <v>106.2</v>
      </c>
      <c r="O10">
        <v>108.9</v>
      </c>
      <c r="P10">
        <v>106.9</v>
      </c>
      <c r="Q10">
        <v>106.6</v>
      </c>
      <c r="R10">
        <v>107.4</v>
      </c>
      <c r="S10">
        <v>106.5</v>
      </c>
      <c r="T10">
        <v>107.3</v>
      </c>
      <c r="U10">
        <v>100.4</v>
      </c>
      <c r="V10">
        <v>106.1</v>
      </c>
      <c r="W10">
        <v>105.6</v>
      </c>
      <c r="X10">
        <v>104.9</v>
      </c>
      <c r="Y10">
        <v>105.1</v>
      </c>
      <c r="Z10">
        <v>103.7</v>
      </c>
      <c r="AA10">
        <v>104</v>
      </c>
      <c r="AB10">
        <v>104.3</v>
      </c>
      <c r="AC10">
        <v>104.7</v>
      </c>
      <c r="AD10">
        <v>105.5</v>
      </c>
    </row>
    <row r="11" spans="1:30" hidden="1" x14ac:dyDescent="0.3">
      <c r="A11" t="s">
        <v>30</v>
      </c>
      <c r="B11">
        <v>2013</v>
      </c>
      <c r="C11" t="s">
        <v>37</v>
      </c>
      <c r="D11">
        <v>110.2</v>
      </c>
      <c r="E11">
        <v>109.5</v>
      </c>
      <c r="F11">
        <v>106.9</v>
      </c>
      <c r="G11">
        <v>106.3</v>
      </c>
      <c r="H11">
        <v>105.7</v>
      </c>
      <c r="I11">
        <v>108.3</v>
      </c>
      <c r="J11">
        <v>103.4</v>
      </c>
      <c r="K11">
        <v>105.7</v>
      </c>
      <c r="L11">
        <v>104.2</v>
      </c>
      <c r="M11">
        <v>103.2</v>
      </c>
      <c r="N11">
        <v>106.5</v>
      </c>
      <c r="O11">
        <v>108.8</v>
      </c>
      <c r="P11">
        <v>107.1</v>
      </c>
      <c r="Q11">
        <v>107.1</v>
      </c>
      <c r="R11">
        <v>108.1</v>
      </c>
      <c r="S11">
        <v>107.4</v>
      </c>
      <c r="T11">
        <v>108</v>
      </c>
      <c r="U11" t="s">
        <v>32</v>
      </c>
      <c r="V11">
        <v>106.5</v>
      </c>
      <c r="W11">
        <v>106.1</v>
      </c>
      <c r="X11">
        <v>105.1</v>
      </c>
      <c r="Y11">
        <v>104.4</v>
      </c>
      <c r="Z11">
        <v>104.5</v>
      </c>
      <c r="AA11">
        <v>104.8</v>
      </c>
      <c r="AB11">
        <v>102.7</v>
      </c>
      <c r="AC11">
        <v>104.6</v>
      </c>
      <c r="AD11">
        <v>106.4</v>
      </c>
    </row>
    <row r="12" spans="1:30" hidden="1" x14ac:dyDescent="0.3">
      <c r="A12" t="s">
        <v>33</v>
      </c>
      <c r="B12">
        <v>2013</v>
      </c>
      <c r="C12" t="s">
        <v>37</v>
      </c>
      <c r="D12">
        <v>114.6</v>
      </c>
      <c r="E12">
        <v>113.4</v>
      </c>
      <c r="F12">
        <v>106</v>
      </c>
      <c r="G12">
        <v>104.7</v>
      </c>
      <c r="H12">
        <v>102.1</v>
      </c>
      <c r="I12">
        <v>109.5</v>
      </c>
      <c r="J12">
        <v>109.7</v>
      </c>
      <c r="K12">
        <v>104.6</v>
      </c>
      <c r="L12">
        <v>102</v>
      </c>
      <c r="M12">
        <v>103.5</v>
      </c>
      <c r="N12">
        <v>108.2</v>
      </c>
      <c r="O12">
        <v>110.6</v>
      </c>
      <c r="P12">
        <v>108.8</v>
      </c>
      <c r="Q12">
        <v>108.5</v>
      </c>
      <c r="R12">
        <v>107.9</v>
      </c>
      <c r="S12">
        <v>106.4</v>
      </c>
      <c r="T12">
        <v>107.7</v>
      </c>
      <c r="U12">
        <v>100.5</v>
      </c>
      <c r="V12">
        <v>106.4</v>
      </c>
      <c r="W12">
        <v>106.5</v>
      </c>
      <c r="X12">
        <v>105.7</v>
      </c>
      <c r="Y12">
        <v>105</v>
      </c>
      <c r="Z12">
        <v>104</v>
      </c>
      <c r="AA12">
        <v>105.2</v>
      </c>
      <c r="AB12">
        <v>103.2</v>
      </c>
      <c r="AC12">
        <v>105.1</v>
      </c>
      <c r="AD12">
        <v>105.7</v>
      </c>
    </row>
    <row r="13" spans="1:30" hidden="1" x14ac:dyDescent="0.3">
      <c r="A13" t="s">
        <v>34</v>
      </c>
      <c r="B13">
        <v>2013</v>
      </c>
      <c r="C13" t="s">
        <v>37</v>
      </c>
      <c r="D13">
        <v>111.6</v>
      </c>
      <c r="E13">
        <v>110.9</v>
      </c>
      <c r="F13">
        <v>106.6</v>
      </c>
      <c r="G13">
        <v>105.7</v>
      </c>
      <c r="H13">
        <v>104.4</v>
      </c>
      <c r="I13">
        <v>108.9</v>
      </c>
      <c r="J13">
        <v>105.5</v>
      </c>
      <c r="K13">
        <v>105.3</v>
      </c>
      <c r="L13">
        <v>103.5</v>
      </c>
      <c r="M13">
        <v>103.3</v>
      </c>
      <c r="N13">
        <v>107.2</v>
      </c>
      <c r="O13">
        <v>109.6</v>
      </c>
      <c r="P13">
        <v>107.7</v>
      </c>
      <c r="Q13">
        <v>107.5</v>
      </c>
      <c r="R13">
        <v>108</v>
      </c>
      <c r="S13">
        <v>107</v>
      </c>
      <c r="T13">
        <v>107.9</v>
      </c>
      <c r="U13">
        <v>100.5</v>
      </c>
      <c r="V13">
        <v>106.5</v>
      </c>
      <c r="W13">
        <v>106.3</v>
      </c>
      <c r="X13">
        <v>105.3</v>
      </c>
      <c r="Y13">
        <v>104.7</v>
      </c>
      <c r="Z13">
        <v>104.2</v>
      </c>
      <c r="AA13">
        <v>105</v>
      </c>
      <c r="AB13">
        <v>102.9</v>
      </c>
      <c r="AC13">
        <v>104.8</v>
      </c>
      <c r="AD13">
        <v>106.1</v>
      </c>
    </row>
    <row r="14" spans="1:30" hidden="1" x14ac:dyDescent="0.3">
      <c r="A14" t="s">
        <v>30</v>
      </c>
      <c r="B14">
        <v>2013</v>
      </c>
      <c r="C14" t="s">
        <v>38</v>
      </c>
      <c r="D14">
        <v>110.9</v>
      </c>
      <c r="E14">
        <v>109.8</v>
      </c>
      <c r="F14">
        <v>105.9</v>
      </c>
      <c r="G14">
        <v>107.5</v>
      </c>
      <c r="H14">
        <v>105.3</v>
      </c>
      <c r="I14">
        <v>108.1</v>
      </c>
      <c r="J14">
        <v>107.3</v>
      </c>
      <c r="K14">
        <v>106.1</v>
      </c>
      <c r="L14">
        <v>103.7</v>
      </c>
      <c r="M14">
        <v>104</v>
      </c>
      <c r="N14">
        <v>107.4</v>
      </c>
      <c r="O14">
        <v>109.9</v>
      </c>
      <c r="P14">
        <v>108.1</v>
      </c>
      <c r="Q14">
        <v>108.1</v>
      </c>
      <c r="R14">
        <v>108.8</v>
      </c>
      <c r="S14">
        <v>107.9</v>
      </c>
      <c r="T14">
        <v>108.6</v>
      </c>
      <c r="U14" t="s">
        <v>32</v>
      </c>
      <c r="V14">
        <v>107.5</v>
      </c>
      <c r="W14">
        <v>106.8</v>
      </c>
      <c r="X14">
        <v>105.7</v>
      </c>
      <c r="Y14">
        <v>104.1</v>
      </c>
      <c r="Z14">
        <v>105</v>
      </c>
      <c r="AA14">
        <v>105.5</v>
      </c>
      <c r="AB14">
        <v>102.1</v>
      </c>
      <c r="AC14">
        <v>104.8</v>
      </c>
      <c r="AD14">
        <v>107.2</v>
      </c>
    </row>
    <row r="15" spans="1:30" hidden="1" x14ac:dyDescent="0.3">
      <c r="A15" t="s">
        <v>33</v>
      </c>
      <c r="B15">
        <v>2013</v>
      </c>
      <c r="C15" t="s">
        <v>38</v>
      </c>
      <c r="D15">
        <v>115.4</v>
      </c>
      <c r="E15">
        <v>114.2</v>
      </c>
      <c r="F15">
        <v>102.7</v>
      </c>
      <c r="G15">
        <v>105.5</v>
      </c>
      <c r="H15">
        <v>101.5</v>
      </c>
      <c r="I15">
        <v>110.6</v>
      </c>
      <c r="J15">
        <v>123.7</v>
      </c>
      <c r="K15">
        <v>105.2</v>
      </c>
      <c r="L15">
        <v>101.9</v>
      </c>
      <c r="M15">
        <v>105</v>
      </c>
      <c r="N15">
        <v>109.1</v>
      </c>
      <c r="O15">
        <v>111.3</v>
      </c>
      <c r="P15">
        <v>111.1</v>
      </c>
      <c r="Q15">
        <v>109.8</v>
      </c>
      <c r="R15">
        <v>108.5</v>
      </c>
      <c r="S15">
        <v>106.7</v>
      </c>
      <c r="T15">
        <v>108.3</v>
      </c>
      <c r="U15">
        <v>100.5</v>
      </c>
      <c r="V15">
        <v>107.2</v>
      </c>
      <c r="W15">
        <v>107.1</v>
      </c>
      <c r="X15">
        <v>106.2</v>
      </c>
      <c r="Y15">
        <v>103.9</v>
      </c>
      <c r="Z15">
        <v>104.6</v>
      </c>
      <c r="AA15">
        <v>105.7</v>
      </c>
      <c r="AB15">
        <v>102.6</v>
      </c>
      <c r="AC15">
        <v>104.9</v>
      </c>
      <c r="AD15">
        <v>106.6</v>
      </c>
    </row>
    <row r="16" spans="1:30" hidden="1" x14ac:dyDescent="0.3">
      <c r="A16" t="s">
        <v>34</v>
      </c>
      <c r="B16">
        <v>2013</v>
      </c>
      <c r="C16" t="s">
        <v>38</v>
      </c>
      <c r="D16">
        <v>112.3</v>
      </c>
      <c r="E16">
        <v>111.3</v>
      </c>
      <c r="F16">
        <v>104.7</v>
      </c>
      <c r="G16">
        <v>106.8</v>
      </c>
      <c r="H16">
        <v>103.9</v>
      </c>
      <c r="I16">
        <v>109.3</v>
      </c>
      <c r="J16">
        <v>112.9</v>
      </c>
      <c r="K16">
        <v>105.8</v>
      </c>
      <c r="L16">
        <v>103.1</v>
      </c>
      <c r="M16">
        <v>104.3</v>
      </c>
      <c r="N16">
        <v>108.1</v>
      </c>
      <c r="O16">
        <v>110.5</v>
      </c>
      <c r="P16">
        <v>109.2</v>
      </c>
      <c r="Q16">
        <v>108.6</v>
      </c>
      <c r="R16">
        <v>108.7</v>
      </c>
      <c r="S16">
        <v>107.4</v>
      </c>
      <c r="T16">
        <v>108.5</v>
      </c>
      <c r="U16">
        <v>100.5</v>
      </c>
      <c r="V16">
        <v>107.4</v>
      </c>
      <c r="W16">
        <v>106.9</v>
      </c>
      <c r="X16">
        <v>105.9</v>
      </c>
      <c r="Y16">
        <v>104</v>
      </c>
      <c r="Z16">
        <v>104.8</v>
      </c>
      <c r="AA16">
        <v>105.6</v>
      </c>
      <c r="AB16">
        <v>102.3</v>
      </c>
      <c r="AC16">
        <v>104.8</v>
      </c>
      <c r="AD16">
        <v>106.9</v>
      </c>
    </row>
    <row r="17" spans="1:30" hidden="1" x14ac:dyDescent="0.3">
      <c r="A17" t="s">
        <v>30</v>
      </c>
      <c r="B17">
        <v>2013</v>
      </c>
      <c r="C17" t="s">
        <v>39</v>
      </c>
      <c r="D17">
        <v>112.3</v>
      </c>
      <c r="E17">
        <v>112.1</v>
      </c>
      <c r="F17">
        <v>108.1</v>
      </c>
      <c r="G17">
        <v>108.3</v>
      </c>
      <c r="H17">
        <v>105.9</v>
      </c>
      <c r="I17">
        <v>109.2</v>
      </c>
      <c r="J17">
        <v>118</v>
      </c>
      <c r="K17">
        <v>106.8</v>
      </c>
      <c r="L17">
        <v>104.1</v>
      </c>
      <c r="M17">
        <v>105.4</v>
      </c>
      <c r="N17">
        <v>108.2</v>
      </c>
      <c r="O17">
        <v>111</v>
      </c>
      <c r="P17">
        <v>110.6</v>
      </c>
      <c r="Q17">
        <v>109</v>
      </c>
      <c r="R17">
        <v>109.7</v>
      </c>
      <c r="S17">
        <v>108.8</v>
      </c>
      <c r="T17">
        <v>109.5</v>
      </c>
      <c r="U17" t="s">
        <v>32</v>
      </c>
      <c r="V17">
        <v>108.5</v>
      </c>
      <c r="W17">
        <v>107.5</v>
      </c>
      <c r="X17">
        <v>106.3</v>
      </c>
      <c r="Y17">
        <v>105</v>
      </c>
      <c r="Z17">
        <v>105.6</v>
      </c>
      <c r="AA17">
        <v>106.5</v>
      </c>
      <c r="AB17">
        <v>102.5</v>
      </c>
      <c r="AC17">
        <v>105.5</v>
      </c>
      <c r="AD17">
        <v>108.9</v>
      </c>
    </row>
    <row r="18" spans="1:30" hidden="1" x14ac:dyDescent="0.3">
      <c r="A18" t="s">
        <v>33</v>
      </c>
      <c r="B18">
        <v>2013</v>
      </c>
      <c r="C18" t="s">
        <v>39</v>
      </c>
      <c r="D18">
        <v>117</v>
      </c>
      <c r="E18">
        <v>120.1</v>
      </c>
      <c r="F18">
        <v>112.5</v>
      </c>
      <c r="G18">
        <v>107.3</v>
      </c>
      <c r="H18">
        <v>101.3</v>
      </c>
      <c r="I18">
        <v>112.4</v>
      </c>
      <c r="J18">
        <v>143.6</v>
      </c>
      <c r="K18">
        <v>105.4</v>
      </c>
      <c r="L18">
        <v>101.4</v>
      </c>
      <c r="M18">
        <v>106.4</v>
      </c>
      <c r="N18">
        <v>110</v>
      </c>
      <c r="O18">
        <v>112.2</v>
      </c>
      <c r="P18">
        <v>115</v>
      </c>
      <c r="Q18">
        <v>110.9</v>
      </c>
      <c r="R18">
        <v>109.2</v>
      </c>
      <c r="S18">
        <v>107.2</v>
      </c>
      <c r="T18">
        <v>108.9</v>
      </c>
      <c r="U18">
        <v>106.6</v>
      </c>
      <c r="V18">
        <v>108</v>
      </c>
      <c r="W18">
        <v>107.7</v>
      </c>
      <c r="X18">
        <v>106.5</v>
      </c>
      <c r="Y18">
        <v>105.2</v>
      </c>
      <c r="Z18">
        <v>105.2</v>
      </c>
      <c r="AA18">
        <v>108.1</v>
      </c>
      <c r="AB18">
        <v>103.3</v>
      </c>
      <c r="AC18">
        <v>106.1</v>
      </c>
      <c r="AD18">
        <v>109.7</v>
      </c>
    </row>
    <row r="19" spans="1:30" hidden="1" x14ac:dyDescent="0.3">
      <c r="A19" t="s">
        <v>34</v>
      </c>
      <c r="B19">
        <v>2013</v>
      </c>
      <c r="C19" t="s">
        <v>39</v>
      </c>
      <c r="D19">
        <v>113.8</v>
      </c>
      <c r="E19">
        <v>114.9</v>
      </c>
      <c r="F19">
        <v>109.8</v>
      </c>
      <c r="G19">
        <v>107.9</v>
      </c>
      <c r="H19">
        <v>104.2</v>
      </c>
      <c r="I19">
        <v>110.7</v>
      </c>
      <c r="J19">
        <v>126.7</v>
      </c>
      <c r="K19">
        <v>106.3</v>
      </c>
      <c r="L19">
        <v>103.2</v>
      </c>
      <c r="M19">
        <v>105.7</v>
      </c>
      <c r="N19">
        <v>109</v>
      </c>
      <c r="O19">
        <v>111.6</v>
      </c>
      <c r="P19">
        <v>112.2</v>
      </c>
      <c r="Q19">
        <v>109.5</v>
      </c>
      <c r="R19">
        <v>109.5</v>
      </c>
      <c r="S19">
        <v>108.1</v>
      </c>
      <c r="T19">
        <v>109.3</v>
      </c>
      <c r="U19">
        <v>106.6</v>
      </c>
      <c r="V19">
        <v>108.3</v>
      </c>
      <c r="W19">
        <v>107.6</v>
      </c>
      <c r="X19">
        <v>106.4</v>
      </c>
      <c r="Y19">
        <v>105.1</v>
      </c>
      <c r="Z19">
        <v>105.4</v>
      </c>
      <c r="AA19">
        <v>107.4</v>
      </c>
      <c r="AB19">
        <v>102.8</v>
      </c>
      <c r="AC19">
        <v>105.8</v>
      </c>
      <c r="AD19">
        <v>109.3</v>
      </c>
    </row>
    <row r="20" spans="1:30" hidden="1" x14ac:dyDescent="0.3">
      <c r="A20" t="s">
        <v>30</v>
      </c>
      <c r="B20">
        <v>2013</v>
      </c>
      <c r="C20" t="s">
        <v>40</v>
      </c>
      <c r="D20">
        <v>113.4</v>
      </c>
      <c r="E20">
        <v>114.9</v>
      </c>
      <c r="F20">
        <v>110.5</v>
      </c>
      <c r="G20">
        <v>109.3</v>
      </c>
      <c r="H20">
        <v>106.2</v>
      </c>
      <c r="I20">
        <v>110.3</v>
      </c>
      <c r="J20">
        <v>129.19999999999999</v>
      </c>
      <c r="K20">
        <v>107.1</v>
      </c>
      <c r="L20">
        <v>104.3</v>
      </c>
      <c r="M20">
        <v>106.4</v>
      </c>
      <c r="N20">
        <v>109.1</v>
      </c>
      <c r="O20">
        <v>112.1</v>
      </c>
      <c r="P20">
        <v>113.1</v>
      </c>
      <c r="Q20">
        <v>109.8</v>
      </c>
      <c r="R20">
        <v>110.5</v>
      </c>
      <c r="S20">
        <v>109.5</v>
      </c>
      <c r="T20">
        <v>110.3</v>
      </c>
      <c r="U20" t="s">
        <v>32</v>
      </c>
      <c r="V20">
        <v>109.5</v>
      </c>
      <c r="W20">
        <v>108.3</v>
      </c>
      <c r="X20">
        <v>106.9</v>
      </c>
      <c r="Y20">
        <v>106.8</v>
      </c>
      <c r="Z20">
        <v>106.4</v>
      </c>
      <c r="AA20">
        <v>107.8</v>
      </c>
      <c r="AB20">
        <v>102.5</v>
      </c>
      <c r="AC20">
        <v>106.5</v>
      </c>
      <c r="AD20">
        <v>110.7</v>
      </c>
    </row>
    <row r="21" spans="1:30" hidden="1" x14ac:dyDescent="0.3">
      <c r="A21" t="s">
        <v>33</v>
      </c>
      <c r="B21">
        <v>2013</v>
      </c>
      <c r="C21" t="s">
        <v>40</v>
      </c>
      <c r="D21">
        <v>117.8</v>
      </c>
      <c r="E21">
        <v>119.2</v>
      </c>
      <c r="F21">
        <v>114</v>
      </c>
      <c r="G21">
        <v>108.3</v>
      </c>
      <c r="H21">
        <v>101.1</v>
      </c>
      <c r="I21">
        <v>113.2</v>
      </c>
      <c r="J21">
        <v>160.9</v>
      </c>
      <c r="K21">
        <v>105.1</v>
      </c>
      <c r="L21">
        <v>101.3</v>
      </c>
      <c r="M21">
        <v>107.5</v>
      </c>
      <c r="N21">
        <v>110.4</v>
      </c>
      <c r="O21">
        <v>113.1</v>
      </c>
      <c r="P21">
        <v>117.5</v>
      </c>
      <c r="Q21">
        <v>111.7</v>
      </c>
      <c r="R21">
        <v>109.8</v>
      </c>
      <c r="S21">
        <v>107.8</v>
      </c>
      <c r="T21">
        <v>109.5</v>
      </c>
      <c r="U21">
        <v>107.7</v>
      </c>
      <c r="V21">
        <v>108.6</v>
      </c>
      <c r="W21">
        <v>108.1</v>
      </c>
      <c r="X21">
        <v>107.1</v>
      </c>
      <c r="Y21">
        <v>107.3</v>
      </c>
      <c r="Z21">
        <v>105.9</v>
      </c>
      <c r="AA21">
        <v>110.1</v>
      </c>
      <c r="AB21">
        <v>103.2</v>
      </c>
      <c r="AC21">
        <v>107.3</v>
      </c>
      <c r="AD21">
        <v>111.4</v>
      </c>
    </row>
    <row r="22" spans="1:30" hidden="1" x14ac:dyDescent="0.3">
      <c r="A22" t="s">
        <v>34</v>
      </c>
      <c r="B22">
        <v>2013</v>
      </c>
      <c r="C22" t="s">
        <v>40</v>
      </c>
      <c r="D22">
        <v>114.8</v>
      </c>
      <c r="E22">
        <v>116.4</v>
      </c>
      <c r="F22">
        <v>111.9</v>
      </c>
      <c r="G22">
        <v>108.9</v>
      </c>
      <c r="H22">
        <v>104.3</v>
      </c>
      <c r="I22">
        <v>111.7</v>
      </c>
      <c r="J22">
        <v>140</v>
      </c>
      <c r="K22">
        <v>106.4</v>
      </c>
      <c r="L22">
        <v>103.3</v>
      </c>
      <c r="M22">
        <v>106.8</v>
      </c>
      <c r="N22">
        <v>109.6</v>
      </c>
      <c r="O22">
        <v>112.6</v>
      </c>
      <c r="P22">
        <v>114.7</v>
      </c>
      <c r="Q22">
        <v>110.3</v>
      </c>
      <c r="R22">
        <v>110.2</v>
      </c>
      <c r="S22">
        <v>108.8</v>
      </c>
      <c r="T22">
        <v>110</v>
      </c>
      <c r="U22">
        <v>107.7</v>
      </c>
      <c r="V22">
        <v>109.2</v>
      </c>
      <c r="W22">
        <v>108.2</v>
      </c>
      <c r="X22">
        <v>107</v>
      </c>
      <c r="Y22">
        <v>107.1</v>
      </c>
      <c r="Z22">
        <v>106.1</v>
      </c>
      <c r="AA22">
        <v>109.1</v>
      </c>
      <c r="AB22">
        <v>102.8</v>
      </c>
      <c r="AC22">
        <v>106.9</v>
      </c>
      <c r="AD22">
        <v>111</v>
      </c>
    </row>
    <row r="23" spans="1:30" hidden="1" x14ac:dyDescent="0.3">
      <c r="A23" t="s">
        <v>30</v>
      </c>
      <c r="B23">
        <v>2013</v>
      </c>
      <c r="C23" t="s">
        <v>41</v>
      </c>
      <c r="D23">
        <v>114.3</v>
      </c>
      <c r="E23">
        <v>115.4</v>
      </c>
      <c r="F23">
        <v>111.1</v>
      </c>
      <c r="G23">
        <v>110</v>
      </c>
      <c r="H23">
        <v>106.4</v>
      </c>
      <c r="I23">
        <v>110.8</v>
      </c>
      <c r="J23">
        <v>138.9</v>
      </c>
      <c r="K23">
        <v>107.4</v>
      </c>
      <c r="L23">
        <v>104.1</v>
      </c>
      <c r="M23">
        <v>106.9</v>
      </c>
      <c r="N23">
        <v>109.7</v>
      </c>
      <c r="O23">
        <v>112.6</v>
      </c>
      <c r="P23">
        <v>114.9</v>
      </c>
      <c r="Q23">
        <v>110.7</v>
      </c>
      <c r="R23">
        <v>111.3</v>
      </c>
      <c r="S23">
        <v>110.2</v>
      </c>
      <c r="T23">
        <v>111.1</v>
      </c>
      <c r="U23" t="s">
        <v>32</v>
      </c>
      <c r="V23">
        <v>109.9</v>
      </c>
      <c r="W23">
        <v>108.7</v>
      </c>
      <c r="X23">
        <v>107.5</v>
      </c>
      <c r="Y23">
        <v>107.8</v>
      </c>
      <c r="Z23">
        <v>106.8</v>
      </c>
      <c r="AA23">
        <v>108.7</v>
      </c>
      <c r="AB23">
        <v>105</v>
      </c>
      <c r="AC23">
        <v>107.5</v>
      </c>
      <c r="AD23">
        <v>112.1</v>
      </c>
    </row>
    <row r="24" spans="1:30" hidden="1" x14ac:dyDescent="0.3">
      <c r="A24" t="s">
        <v>33</v>
      </c>
      <c r="B24">
        <v>2013</v>
      </c>
      <c r="C24" t="s">
        <v>41</v>
      </c>
      <c r="D24">
        <v>118.3</v>
      </c>
      <c r="E24">
        <v>120.4</v>
      </c>
      <c r="F24">
        <v>112.7</v>
      </c>
      <c r="G24">
        <v>108.9</v>
      </c>
      <c r="H24">
        <v>101.1</v>
      </c>
      <c r="I24">
        <v>108.7</v>
      </c>
      <c r="J24">
        <v>177</v>
      </c>
      <c r="K24">
        <v>104.7</v>
      </c>
      <c r="L24">
        <v>101</v>
      </c>
      <c r="M24">
        <v>108.5</v>
      </c>
      <c r="N24">
        <v>110.9</v>
      </c>
      <c r="O24">
        <v>114.3</v>
      </c>
      <c r="P24">
        <v>119.6</v>
      </c>
      <c r="Q24">
        <v>112.4</v>
      </c>
      <c r="R24">
        <v>110.6</v>
      </c>
      <c r="S24">
        <v>108.3</v>
      </c>
      <c r="T24">
        <v>110.2</v>
      </c>
      <c r="U24">
        <v>108.9</v>
      </c>
      <c r="V24">
        <v>109.3</v>
      </c>
      <c r="W24">
        <v>108.7</v>
      </c>
      <c r="X24">
        <v>107.6</v>
      </c>
      <c r="Y24">
        <v>108.1</v>
      </c>
      <c r="Z24">
        <v>106.5</v>
      </c>
      <c r="AA24">
        <v>110.8</v>
      </c>
      <c r="AB24">
        <v>106</v>
      </c>
      <c r="AC24">
        <v>108.3</v>
      </c>
      <c r="AD24">
        <v>112.7</v>
      </c>
    </row>
    <row r="25" spans="1:30" hidden="1" x14ac:dyDescent="0.3">
      <c r="A25" t="s">
        <v>34</v>
      </c>
      <c r="B25">
        <v>2013</v>
      </c>
      <c r="C25" t="s">
        <v>41</v>
      </c>
      <c r="D25">
        <v>115.6</v>
      </c>
      <c r="E25">
        <v>117.2</v>
      </c>
      <c r="F25">
        <v>111.7</v>
      </c>
      <c r="G25">
        <v>109.6</v>
      </c>
      <c r="H25">
        <v>104.5</v>
      </c>
      <c r="I25">
        <v>109.8</v>
      </c>
      <c r="J25">
        <v>151.80000000000001</v>
      </c>
      <c r="K25">
        <v>106.5</v>
      </c>
      <c r="L25">
        <v>103.1</v>
      </c>
      <c r="M25">
        <v>107.4</v>
      </c>
      <c r="N25">
        <v>110.2</v>
      </c>
      <c r="O25">
        <v>113.4</v>
      </c>
      <c r="P25">
        <v>116.6</v>
      </c>
      <c r="Q25">
        <v>111.2</v>
      </c>
      <c r="R25">
        <v>111</v>
      </c>
      <c r="S25">
        <v>109.4</v>
      </c>
      <c r="T25">
        <v>110.7</v>
      </c>
      <c r="U25">
        <v>108.9</v>
      </c>
      <c r="V25">
        <v>109.7</v>
      </c>
      <c r="W25">
        <v>108.7</v>
      </c>
      <c r="X25">
        <v>107.5</v>
      </c>
      <c r="Y25">
        <v>108</v>
      </c>
      <c r="Z25">
        <v>106.6</v>
      </c>
      <c r="AA25">
        <v>109.9</v>
      </c>
      <c r="AB25">
        <v>105.4</v>
      </c>
      <c r="AC25">
        <v>107.9</v>
      </c>
      <c r="AD25">
        <v>112.4</v>
      </c>
    </row>
    <row r="26" spans="1:30" hidden="1" x14ac:dyDescent="0.3">
      <c r="A26" t="s">
        <v>30</v>
      </c>
      <c r="B26">
        <v>2013</v>
      </c>
      <c r="C26" t="s">
        <v>42</v>
      </c>
      <c r="D26">
        <v>115.4</v>
      </c>
      <c r="E26">
        <v>115.7</v>
      </c>
      <c r="F26">
        <v>111.7</v>
      </c>
      <c r="G26">
        <v>111</v>
      </c>
      <c r="H26">
        <v>107.4</v>
      </c>
      <c r="I26">
        <v>110.9</v>
      </c>
      <c r="J26">
        <v>154</v>
      </c>
      <c r="K26">
        <v>108.1</v>
      </c>
      <c r="L26">
        <v>104.2</v>
      </c>
      <c r="M26">
        <v>107.9</v>
      </c>
      <c r="N26">
        <v>110.4</v>
      </c>
      <c r="O26">
        <v>114</v>
      </c>
      <c r="P26">
        <v>117.8</v>
      </c>
      <c r="Q26">
        <v>111.7</v>
      </c>
      <c r="R26">
        <v>112.7</v>
      </c>
      <c r="S26">
        <v>111.4</v>
      </c>
      <c r="T26">
        <v>112.5</v>
      </c>
      <c r="U26" t="s">
        <v>32</v>
      </c>
      <c r="V26">
        <v>111.1</v>
      </c>
      <c r="W26">
        <v>109.6</v>
      </c>
      <c r="X26">
        <v>108.3</v>
      </c>
      <c r="Y26">
        <v>109.3</v>
      </c>
      <c r="Z26">
        <v>107.7</v>
      </c>
      <c r="AA26">
        <v>109.8</v>
      </c>
      <c r="AB26">
        <v>106.7</v>
      </c>
      <c r="AC26">
        <v>108.7</v>
      </c>
      <c r="AD26">
        <v>114.2</v>
      </c>
    </row>
    <row r="27" spans="1:30" hidden="1" x14ac:dyDescent="0.3">
      <c r="A27" t="s">
        <v>33</v>
      </c>
      <c r="B27">
        <v>2013</v>
      </c>
      <c r="C27" t="s">
        <v>42</v>
      </c>
      <c r="D27">
        <v>118.6</v>
      </c>
      <c r="E27">
        <v>119.1</v>
      </c>
      <c r="F27">
        <v>113.2</v>
      </c>
      <c r="G27">
        <v>109.6</v>
      </c>
      <c r="H27">
        <v>101.7</v>
      </c>
      <c r="I27">
        <v>103.2</v>
      </c>
      <c r="J27">
        <v>174.3</v>
      </c>
      <c r="K27">
        <v>105.1</v>
      </c>
      <c r="L27">
        <v>100.8</v>
      </c>
      <c r="M27">
        <v>109.1</v>
      </c>
      <c r="N27">
        <v>111.1</v>
      </c>
      <c r="O27">
        <v>115.4</v>
      </c>
      <c r="P27">
        <v>119.2</v>
      </c>
      <c r="Q27">
        <v>112.9</v>
      </c>
      <c r="R27">
        <v>111.4</v>
      </c>
      <c r="S27">
        <v>109</v>
      </c>
      <c r="T27">
        <v>111.1</v>
      </c>
      <c r="U27">
        <v>109.7</v>
      </c>
      <c r="V27">
        <v>109.5</v>
      </c>
      <c r="W27">
        <v>109.6</v>
      </c>
      <c r="X27">
        <v>107.9</v>
      </c>
      <c r="Y27">
        <v>110.4</v>
      </c>
      <c r="Z27">
        <v>107.4</v>
      </c>
      <c r="AA27">
        <v>111.2</v>
      </c>
      <c r="AB27">
        <v>106.9</v>
      </c>
      <c r="AC27">
        <v>109.4</v>
      </c>
      <c r="AD27">
        <v>113.2</v>
      </c>
    </row>
    <row r="28" spans="1:30" hidden="1" x14ac:dyDescent="0.3">
      <c r="A28" t="s">
        <v>34</v>
      </c>
      <c r="B28">
        <v>2013</v>
      </c>
      <c r="C28" t="s">
        <v>42</v>
      </c>
      <c r="D28">
        <v>116.4</v>
      </c>
      <c r="E28">
        <v>116.9</v>
      </c>
      <c r="F28">
        <v>112.3</v>
      </c>
      <c r="G28">
        <v>110.5</v>
      </c>
      <c r="H28">
        <v>105.3</v>
      </c>
      <c r="I28">
        <v>107.3</v>
      </c>
      <c r="J28">
        <v>160.9</v>
      </c>
      <c r="K28">
        <v>107.1</v>
      </c>
      <c r="L28">
        <v>103.1</v>
      </c>
      <c r="M28">
        <v>108.3</v>
      </c>
      <c r="N28">
        <v>110.7</v>
      </c>
      <c r="O28">
        <v>114.6</v>
      </c>
      <c r="P28">
        <v>118.3</v>
      </c>
      <c r="Q28">
        <v>112</v>
      </c>
      <c r="R28">
        <v>112.2</v>
      </c>
      <c r="S28">
        <v>110.4</v>
      </c>
      <c r="T28">
        <v>111.9</v>
      </c>
      <c r="U28">
        <v>109.7</v>
      </c>
      <c r="V28">
        <v>110.5</v>
      </c>
      <c r="W28">
        <v>109.6</v>
      </c>
      <c r="X28">
        <v>108.1</v>
      </c>
      <c r="Y28">
        <v>109.9</v>
      </c>
      <c r="Z28">
        <v>107.5</v>
      </c>
      <c r="AA28">
        <v>110.6</v>
      </c>
      <c r="AB28">
        <v>106.8</v>
      </c>
      <c r="AC28">
        <v>109</v>
      </c>
      <c r="AD28">
        <v>113.7</v>
      </c>
    </row>
    <row r="29" spans="1:30" hidden="1" x14ac:dyDescent="0.3">
      <c r="A29" t="s">
        <v>30</v>
      </c>
      <c r="B29">
        <v>2013</v>
      </c>
      <c r="C29" t="s">
        <v>43</v>
      </c>
      <c r="D29">
        <v>116.3</v>
      </c>
      <c r="E29">
        <v>115.4</v>
      </c>
      <c r="F29">
        <v>112.6</v>
      </c>
      <c r="G29">
        <v>111.7</v>
      </c>
      <c r="H29">
        <v>107.7</v>
      </c>
      <c r="I29">
        <v>113.2</v>
      </c>
      <c r="J29">
        <v>164.9</v>
      </c>
      <c r="K29">
        <v>108.3</v>
      </c>
      <c r="L29">
        <v>103.9</v>
      </c>
      <c r="M29">
        <v>108.2</v>
      </c>
      <c r="N29">
        <v>111.1</v>
      </c>
      <c r="O29">
        <v>114.9</v>
      </c>
      <c r="P29">
        <v>119.8</v>
      </c>
      <c r="Q29">
        <v>112.2</v>
      </c>
      <c r="R29">
        <v>113.6</v>
      </c>
      <c r="S29">
        <v>112.3</v>
      </c>
      <c r="T29">
        <v>113.4</v>
      </c>
      <c r="U29" t="s">
        <v>32</v>
      </c>
      <c r="V29">
        <v>111.6</v>
      </c>
      <c r="W29">
        <v>110.4</v>
      </c>
      <c r="X29">
        <v>108.9</v>
      </c>
      <c r="Y29">
        <v>109.3</v>
      </c>
      <c r="Z29">
        <v>108.3</v>
      </c>
      <c r="AA29">
        <v>110.2</v>
      </c>
      <c r="AB29">
        <v>107.5</v>
      </c>
      <c r="AC29">
        <v>109.1</v>
      </c>
      <c r="AD29">
        <v>115.5</v>
      </c>
    </row>
    <row r="30" spans="1:30" hidden="1" x14ac:dyDescent="0.3">
      <c r="A30" t="s">
        <v>33</v>
      </c>
      <c r="B30">
        <v>2013</v>
      </c>
      <c r="C30" t="s">
        <v>43</v>
      </c>
      <c r="D30">
        <v>118.9</v>
      </c>
      <c r="E30">
        <v>118.1</v>
      </c>
      <c r="F30">
        <v>114.5</v>
      </c>
      <c r="G30">
        <v>110.4</v>
      </c>
      <c r="H30">
        <v>102.3</v>
      </c>
      <c r="I30">
        <v>106.2</v>
      </c>
      <c r="J30">
        <v>183.5</v>
      </c>
      <c r="K30">
        <v>105.3</v>
      </c>
      <c r="L30">
        <v>100.2</v>
      </c>
      <c r="M30">
        <v>109.6</v>
      </c>
      <c r="N30">
        <v>111.4</v>
      </c>
      <c r="O30">
        <v>116</v>
      </c>
      <c r="P30">
        <v>120.8</v>
      </c>
      <c r="Q30">
        <v>113.5</v>
      </c>
      <c r="R30">
        <v>112.5</v>
      </c>
      <c r="S30">
        <v>109.7</v>
      </c>
      <c r="T30">
        <v>112</v>
      </c>
      <c r="U30">
        <v>110.5</v>
      </c>
      <c r="V30">
        <v>109.7</v>
      </c>
      <c r="W30">
        <v>110.2</v>
      </c>
      <c r="X30">
        <v>108.2</v>
      </c>
      <c r="Y30">
        <v>109.7</v>
      </c>
      <c r="Z30">
        <v>108</v>
      </c>
      <c r="AA30">
        <v>111.3</v>
      </c>
      <c r="AB30">
        <v>107.3</v>
      </c>
      <c r="AC30">
        <v>109.4</v>
      </c>
      <c r="AD30">
        <v>114</v>
      </c>
    </row>
    <row r="31" spans="1:30" hidden="1" x14ac:dyDescent="0.3">
      <c r="A31" t="s">
        <v>34</v>
      </c>
      <c r="B31">
        <v>2013</v>
      </c>
      <c r="C31" t="s">
        <v>43</v>
      </c>
      <c r="D31">
        <v>117.1</v>
      </c>
      <c r="E31">
        <v>116.3</v>
      </c>
      <c r="F31">
        <v>113.3</v>
      </c>
      <c r="G31">
        <v>111.2</v>
      </c>
      <c r="H31">
        <v>105.7</v>
      </c>
      <c r="I31">
        <v>109.9</v>
      </c>
      <c r="J31">
        <v>171.2</v>
      </c>
      <c r="K31">
        <v>107.3</v>
      </c>
      <c r="L31">
        <v>102.7</v>
      </c>
      <c r="M31">
        <v>108.7</v>
      </c>
      <c r="N31">
        <v>111.2</v>
      </c>
      <c r="O31">
        <v>115.4</v>
      </c>
      <c r="P31">
        <v>120.2</v>
      </c>
      <c r="Q31">
        <v>112.5</v>
      </c>
      <c r="R31">
        <v>113.2</v>
      </c>
      <c r="S31">
        <v>111.2</v>
      </c>
      <c r="T31">
        <v>112.8</v>
      </c>
      <c r="U31">
        <v>110.5</v>
      </c>
      <c r="V31">
        <v>110.9</v>
      </c>
      <c r="W31">
        <v>110.3</v>
      </c>
      <c r="X31">
        <v>108.6</v>
      </c>
      <c r="Y31">
        <v>109.5</v>
      </c>
      <c r="Z31">
        <v>108.1</v>
      </c>
      <c r="AA31">
        <v>110.8</v>
      </c>
      <c r="AB31">
        <v>107.4</v>
      </c>
      <c r="AC31">
        <v>109.2</v>
      </c>
      <c r="AD31">
        <v>114.8</v>
      </c>
    </row>
    <row r="32" spans="1:30" hidden="1" x14ac:dyDescent="0.3">
      <c r="A32" t="s">
        <v>30</v>
      </c>
      <c r="B32">
        <v>2013</v>
      </c>
      <c r="C32" t="s">
        <v>44</v>
      </c>
      <c r="D32">
        <v>117.3</v>
      </c>
      <c r="E32">
        <v>114.9</v>
      </c>
      <c r="F32">
        <v>116.2</v>
      </c>
      <c r="G32">
        <v>112.8</v>
      </c>
      <c r="H32">
        <v>108.9</v>
      </c>
      <c r="I32">
        <v>116.6</v>
      </c>
      <c r="J32">
        <v>178.1</v>
      </c>
      <c r="K32">
        <v>109.1</v>
      </c>
      <c r="L32">
        <v>103.6</v>
      </c>
      <c r="M32">
        <v>109</v>
      </c>
      <c r="N32">
        <v>111.8</v>
      </c>
      <c r="O32">
        <v>116</v>
      </c>
      <c r="P32">
        <v>122.5</v>
      </c>
      <c r="Q32">
        <v>112.8</v>
      </c>
      <c r="R32">
        <v>114.6</v>
      </c>
      <c r="S32">
        <v>113.1</v>
      </c>
      <c r="T32">
        <v>114.4</v>
      </c>
      <c r="U32" t="s">
        <v>32</v>
      </c>
      <c r="V32">
        <v>112.6</v>
      </c>
      <c r="W32">
        <v>111.3</v>
      </c>
      <c r="X32">
        <v>109.7</v>
      </c>
      <c r="Y32">
        <v>109.6</v>
      </c>
      <c r="Z32">
        <v>108.7</v>
      </c>
      <c r="AA32">
        <v>111</v>
      </c>
      <c r="AB32">
        <v>108.2</v>
      </c>
      <c r="AC32">
        <v>109.8</v>
      </c>
      <c r="AD32">
        <v>117.4</v>
      </c>
    </row>
    <row r="33" spans="1:30" hidden="1" x14ac:dyDescent="0.3">
      <c r="A33" t="s">
        <v>33</v>
      </c>
      <c r="B33">
        <v>2013</v>
      </c>
      <c r="C33" t="s">
        <v>45</v>
      </c>
      <c r="D33">
        <v>119.8</v>
      </c>
      <c r="E33">
        <v>116.3</v>
      </c>
      <c r="F33">
        <v>122.6</v>
      </c>
      <c r="G33">
        <v>112</v>
      </c>
      <c r="H33">
        <v>103.2</v>
      </c>
      <c r="I33">
        <v>110</v>
      </c>
      <c r="J33">
        <v>192.8</v>
      </c>
      <c r="K33">
        <v>106.3</v>
      </c>
      <c r="L33">
        <v>99.5</v>
      </c>
      <c r="M33">
        <v>110.3</v>
      </c>
      <c r="N33">
        <v>111.8</v>
      </c>
      <c r="O33">
        <v>117.1</v>
      </c>
      <c r="P33">
        <v>122.9</v>
      </c>
      <c r="Q33">
        <v>114.1</v>
      </c>
      <c r="R33">
        <v>113.5</v>
      </c>
      <c r="S33">
        <v>110.3</v>
      </c>
      <c r="T33">
        <v>113</v>
      </c>
      <c r="U33">
        <v>111.1</v>
      </c>
      <c r="V33">
        <v>110</v>
      </c>
      <c r="W33">
        <v>110.9</v>
      </c>
      <c r="X33">
        <v>108.6</v>
      </c>
      <c r="Y33">
        <v>109.5</v>
      </c>
      <c r="Z33">
        <v>108.5</v>
      </c>
      <c r="AA33">
        <v>111.3</v>
      </c>
      <c r="AB33">
        <v>107.9</v>
      </c>
      <c r="AC33">
        <v>109.6</v>
      </c>
      <c r="AD33">
        <v>115</v>
      </c>
    </row>
    <row r="34" spans="1:30" hidden="1" x14ac:dyDescent="0.3">
      <c r="A34" t="s">
        <v>34</v>
      </c>
      <c r="B34">
        <v>2013</v>
      </c>
      <c r="C34" t="s">
        <v>45</v>
      </c>
      <c r="D34">
        <v>118.1</v>
      </c>
      <c r="E34">
        <v>115.4</v>
      </c>
      <c r="F34">
        <v>118.7</v>
      </c>
      <c r="G34">
        <v>112.5</v>
      </c>
      <c r="H34">
        <v>106.8</v>
      </c>
      <c r="I34">
        <v>113.5</v>
      </c>
      <c r="J34">
        <v>183.1</v>
      </c>
      <c r="K34">
        <v>108.2</v>
      </c>
      <c r="L34">
        <v>102.2</v>
      </c>
      <c r="M34">
        <v>109.4</v>
      </c>
      <c r="N34">
        <v>111.8</v>
      </c>
      <c r="O34">
        <v>116.5</v>
      </c>
      <c r="P34">
        <v>122.6</v>
      </c>
      <c r="Q34">
        <v>113.1</v>
      </c>
      <c r="R34">
        <v>114.2</v>
      </c>
      <c r="S34">
        <v>111.9</v>
      </c>
      <c r="T34">
        <v>113.8</v>
      </c>
      <c r="U34">
        <v>111.1</v>
      </c>
      <c r="V34">
        <v>111.6</v>
      </c>
      <c r="W34">
        <v>111.1</v>
      </c>
      <c r="X34">
        <v>109.3</v>
      </c>
      <c r="Y34">
        <v>109.5</v>
      </c>
      <c r="Z34">
        <v>108.6</v>
      </c>
      <c r="AA34">
        <v>111.2</v>
      </c>
      <c r="AB34">
        <v>108.1</v>
      </c>
      <c r="AC34">
        <v>109.7</v>
      </c>
      <c r="AD34">
        <v>116.3</v>
      </c>
    </row>
    <row r="35" spans="1:30" hidden="1" x14ac:dyDescent="0.3">
      <c r="A35" t="s">
        <v>30</v>
      </c>
      <c r="B35">
        <v>2013</v>
      </c>
      <c r="C35" t="s">
        <v>46</v>
      </c>
      <c r="D35">
        <v>118.4</v>
      </c>
      <c r="E35">
        <v>115.9</v>
      </c>
      <c r="F35">
        <v>120.4</v>
      </c>
      <c r="G35">
        <v>113.8</v>
      </c>
      <c r="H35">
        <v>109.5</v>
      </c>
      <c r="I35">
        <v>115.5</v>
      </c>
      <c r="J35">
        <v>145.69999999999999</v>
      </c>
      <c r="K35">
        <v>109.5</v>
      </c>
      <c r="L35">
        <v>102.9</v>
      </c>
      <c r="M35">
        <v>109.8</v>
      </c>
      <c r="N35">
        <v>112.1</v>
      </c>
      <c r="O35">
        <v>116.8</v>
      </c>
      <c r="P35">
        <v>118.7</v>
      </c>
      <c r="Q35">
        <v>113.6</v>
      </c>
      <c r="R35">
        <v>115.8</v>
      </c>
      <c r="S35">
        <v>114</v>
      </c>
      <c r="T35">
        <v>115.5</v>
      </c>
      <c r="U35" t="s">
        <v>32</v>
      </c>
      <c r="V35">
        <v>112.8</v>
      </c>
      <c r="W35">
        <v>112.1</v>
      </c>
      <c r="X35">
        <v>110.1</v>
      </c>
      <c r="Y35">
        <v>109.9</v>
      </c>
      <c r="Z35">
        <v>109.2</v>
      </c>
      <c r="AA35">
        <v>111.6</v>
      </c>
      <c r="AB35">
        <v>108.1</v>
      </c>
      <c r="AC35">
        <v>110.1</v>
      </c>
      <c r="AD35">
        <v>115.5</v>
      </c>
    </row>
    <row r="36" spans="1:30" hidden="1" x14ac:dyDescent="0.3">
      <c r="A36" t="s">
        <v>33</v>
      </c>
      <c r="B36">
        <v>2013</v>
      </c>
      <c r="C36" t="s">
        <v>46</v>
      </c>
      <c r="D36">
        <v>120.5</v>
      </c>
      <c r="E36">
        <v>118.1</v>
      </c>
      <c r="F36">
        <v>128.5</v>
      </c>
      <c r="G36">
        <v>112.8</v>
      </c>
      <c r="H36">
        <v>103.4</v>
      </c>
      <c r="I36">
        <v>110.7</v>
      </c>
      <c r="J36">
        <v>144.80000000000001</v>
      </c>
      <c r="K36">
        <v>107.1</v>
      </c>
      <c r="L36">
        <v>98.6</v>
      </c>
      <c r="M36">
        <v>111.9</v>
      </c>
      <c r="N36">
        <v>112.1</v>
      </c>
      <c r="O36">
        <v>118.1</v>
      </c>
      <c r="P36">
        <v>117.8</v>
      </c>
      <c r="Q36">
        <v>115</v>
      </c>
      <c r="R36">
        <v>114.2</v>
      </c>
      <c r="S36">
        <v>110.9</v>
      </c>
      <c r="T36">
        <v>113.7</v>
      </c>
      <c r="U36">
        <v>110.7</v>
      </c>
      <c r="V36">
        <v>110.4</v>
      </c>
      <c r="W36">
        <v>111.3</v>
      </c>
      <c r="X36">
        <v>109</v>
      </c>
      <c r="Y36">
        <v>109.7</v>
      </c>
      <c r="Z36">
        <v>108.9</v>
      </c>
      <c r="AA36">
        <v>111.4</v>
      </c>
      <c r="AB36">
        <v>107.7</v>
      </c>
      <c r="AC36">
        <v>109.8</v>
      </c>
      <c r="AD36">
        <v>113.3</v>
      </c>
    </row>
    <row r="37" spans="1:30" hidden="1" x14ac:dyDescent="0.3">
      <c r="A37" t="s">
        <v>34</v>
      </c>
      <c r="B37">
        <v>2013</v>
      </c>
      <c r="C37" t="s">
        <v>46</v>
      </c>
      <c r="D37">
        <v>119.1</v>
      </c>
      <c r="E37">
        <v>116.7</v>
      </c>
      <c r="F37">
        <v>123.5</v>
      </c>
      <c r="G37">
        <v>113.4</v>
      </c>
      <c r="H37">
        <v>107.3</v>
      </c>
      <c r="I37">
        <v>113.3</v>
      </c>
      <c r="J37">
        <v>145.4</v>
      </c>
      <c r="K37">
        <v>108.7</v>
      </c>
      <c r="L37">
        <v>101.5</v>
      </c>
      <c r="M37">
        <v>110.5</v>
      </c>
      <c r="N37">
        <v>112.1</v>
      </c>
      <c r="O37">
        <v>117.4</v>
      </c>
      <c r="P37">
        <v>118.4</v>
      </c>
      <c r="Q37">
        <v>114</v>
      </c>
      <c r="R37">
        <v>115.2</v>
      </c>
      <c r="S37">
        <v>112.7</v>
      </c>
      <c r="T37">
        <v>114.8</v>
      </c>
      <c r="U37">
        <v>110.7</v>
      </c>
      <c r="V37">
        <v>111.9</v>
      </c>
      <c r="W37">
        <v>111.7</v>
      </c>
      <c r="X37">
        <v>109.7</v>
      </c>
      <c r="Y37">
        <v>109.8</v>
      </c>
      <c r="Z37">
        <v>109</v>
      </c>
      <c r="AA37">
        <v>111.5</v>
      </c>
      <c r="AB37">
        <v>107.9</v>
      </c>
      <c r="AC37">
        <v>110</v>
      </c>
      <c r="AD37">
        <v>114.5</v>
      </c>
    </row>
    <row r="38" spans="1:30" hidden="1" x14ac:dyDescent="0.3">
      <c r="A38" t="s">
        <v>30</v>
      </c>
      <c r="B38">
        <v>2014</v>
      </c>
      <c r="C38" t="s">
        <v>31</v>
      </c>
      <c r="D38">
        <v>118.9</v>
      </c>
      <c r="E38">
        <v>117.1</v>
      </c>
      <c r="F38">
        <v>120.5</v>
      </c>
      <c r="G38">
        <v>114.4</v>
      </c>
      <c r="H38">
        <v>109</v>
      </c>
      <c r="I38">
        <v>115.5</v>
      </c>
      <c r="J38">
        <v>123.9</v>
      </c>
      <c r="K38">
        <v>109.6</v>
      </c>
      <c r="L38">
        <v>101.8</v>
      </c>
      <c r="M38">
        <v>110.2</v>
      </c>
      <c r="N38">
        <v>112.4</v>
      </c>
      <c r="O38">
        <v>117.3</v>
      </c>
      <c r="P38">
        <v>116</v>
      </c>
      <c r="Q38">
        <v>114</v>
      </c>
      <c r="R38">
        <v>116.5</v>
      </c>
      <c r="S38">
        <v>114.5</v>
      </c>
      <c r="T38">
        <v>116.2</v>
      </c>
      <c r="U38" t="s">
        <v>32</v>
      </c>
      <c r="V38">
        <v>113</v>
      </c>
      <c r="W38">
        <v>112.6</v>
      </c>
      <c r="X38">
        <v>110.6</v>
      </c>
      <c r="Y38">
        <v>110.5</v>
      </c>
      <c r="Z38">
        <v>109.6</v>
      </c>
      <c r="AA38">
        <v>111.8</v>
      </c>
      <c r="AB38">
        <v>108.3</v>
      </c>
      <c r="AC38">
        <v>110.6</v>
      </c>
      <c r="AD38">
        <v>114.2</v>
      </c>
    </row>
    <row r="39" spans="1:30" hidden="1" x14ac:dyDescent="0.3">
      <c r="A39" t="s">
        <v>33</v>
      </c>
      <c r="B39">
        <v>2014</v>
      </c>
      <c r="C39" t="s">
        <v>31</v>
      </c>
      <c r="D39">
        <v>121.2</v>
      </c>
      <c r="E39">
        <v>122</v>
      </c>
      <c r="F39">
        <v>129.9</v>
      </c>
      <c r="G39">
        <v>113.6</v>
      </c>
      <c r="H39">
        <v>102.9</v>
      </c>
      <c r="I39">
        <v>112.1</v>
      </c>
      <c r="J39">
        <v>118.9</v>
      </c>
      <c r="K39">
        <v>107.5</v>
      </c>
      <c r="L39">
        <v>96.9</v>
      </c>
      <c r="M39">
        <v>112.7</v>
      </c>
      <c r="N39">
        <v>112.1</v>
      </c>
      <c r="O39">
        <v>119</v>
      </c>
      <c r="P39">
        <v>115.5</v>
      </c>
      <c r="Q39">
        <v>115.7</v>
      </c>
      <c r="R39">
        <v>114.8</v>
      </c>
      <c r="S39">
        <v>111.3</v>
      </c>
      <c r="T39">
        <v>114.3</v>
      </c>
      <c r="U39">
        <v>111.6</v>
      </c>
      <c r="V39">
        <v>111</v>
      </c>
      <c r="W39">
        <v>111.9</v>
      </c>
      <c r="X39">
        <v>109.7</v>
      </c>
      <c r="Y39">
        <v>110.8</v>
      </c>
      <c r="Z39">
        <v>109.8</v>
      </c>
      <c r="AA39">
        <v>111.5</v>
      </c>
      <c r="AB39">
        <v>108</v>
      </c>
      <c r="AC39">
        <v>110.5</v>
      </c>
      <c r="AD39">
        <v>112.9</v>
      </c>
    </row>
    <row r="40" spans="1:30" hidden="1" x14ac:dyDescent="0.3">
      <c r="A40" t="s">
        <v>34</v>
      </c>
      <c r="B40">
        <v>2014</v>
      </c>
      <c r="C40" t="s">
        <v>31</v>
      </c>
      <c r="D40">
        <v>119.6</v>
      </c>
      <c r="E40">
        <v>118.8</v>
      </c>
      <c r="F40">
        <v>124.1</v>
      </c>
      <c r="G40">
        <v>114.1</v>
      </c>
      <c r="H40">
        <v>106.8</v>
      </c>
      <c r="I40">
        <v>113.9</v>
      </c>
      <c r="J40">
        <v>122.2</v>
      </c>
      <c r="K40">
        <v>108.9</v>
      </c>
      <c r="L40">
        <v>100.2</v>
      </c>
      <c r="M40">
        <v>111</v>
      </c>
      <c r="N40">
        <v>112.3</v>
      </c>
      <c r="O40">
        <v>118.1</v>
      </c>
      <c r="P40">
        <v>115.8</v>
      </c>
      <c r="Q40">
        <v>114.5</v>
      </c>
      <c r="R40">
        <v>115.8</v>
      </c>
      <c r="S40">
        <v>113.2</v>
      </c>
      <c r="T40">
        <v>115.4</v>
      </c>
      <c r="U40">
        <v>111.6</v>
      </c>
      <c r="V40">
        <v>112.2</v>
      </c>
      <c r="W40">
        <v>112.3</v>
      </c>
      <c r="X40">
        <v>110.3</v>
      </c>
      <c r="Y40">
        <v>110.7</v>
      </c>
      <c r="Z40">
        <v>109.7</v>
      </c>
      <c r="AA40">
        <v>111.6</v>
      </c>
      <c r="AB40">
        <v>108.2</v>
      </c>
      <c r="AC40">
        <v>110.6</v>
      </c>
      <c r="AD40">
        <v>113.6</v>
      </c>
    </row>
    <row r="41" spans="1:30" hidden="1" x14ac:dyDescent="0.3">
      <c r="A41" t="s">
        <v>30</v>
      </c>
      <c r="B41">
        <v>2014</v>
      </c>
      <c r="C41" t="s">
        <v>35</v>
      </c>
      <c r="D41">
        <v>119.4</v>
      </c>
      <c r="E41">
        <v>117.7</v>
      </c>
      <c r="F41">
        <v>121.2</v>
      </c>
      <c r="G41">
        <v>115</v>
      </c>
      <c r="H41">
        <v>109</v>
      </c>
      <c r="I41">
        <v>116.6</v>
      </c>
      <c r="J41">
        <v>116</v>
      </c>
      <c r="K41">
        <v>109.8</v>
      </c>
      <c r="L41">
        <v>101.1</v>
      </c>
      <c r="M41">
        <v>110.4</v>
      </c>
      <c r="N41">
        <v>112.9</v>
      </c>
      <c r="O41">
        <v>117.8</v>
      </c>
      <c r="P41">
        <v>115.3</v>
      </c>
      <c r="Q41">
        <v>114.2</v>
      </c>
      <c r="R41">
        <v>117.1</v>
      </c>
      <c r="S41">
        <v>114.5</v>
      </c>
      <c r="T41">
        <v>116.7</v>
      </c>
      <c r="U41" t="s">
        <v>32</v>
      </c>
      <c r="V41">
        <v>113.2</v>
      </c>
      <c r="W41">
        <v>112.9</v>
      </c>
      <c r="X41">
        <v>110.9</v>
      </c>
      <c r="Y41">
        <v>110.8</v>
      </c>
      <c r="Z41">
        <v>109.9</v>
      </c>
      <c r="AA41">
        <v>112</v>
      </c>
      <c r="AB41">
        <v>108.7</v>
      </c>
      <c r="AC41">
        <v>110.9</v>
      </c>
      <c r="AD41">
        <v>114</v>
      </c>
    </row>
    <row r="42" spans="1:30" hidden="1" x14ac:dyDescent="0.3">
      <c r="A42" t="s">
        <v>33</v>
      </c>
      <c r="B42">
        <v>2014</v>
      </c>
      <c r="C42" t="s">
        <v>35</v>
      </c>
      <c r="D42">
        <v>121.9</v>
      </c>
      <c r="E42">
        <v>122</v>
      </c>
      <c r="F42">
        <v>124.5</v>
      </c>
      <c r="G42">
        <v>115.2</v>
      </c>
      <c r="H42">
        <v>102.5</v>
      </c>
      <c r="I42">
        <v>114.1</v>
      </c>
      <c r="J42">
        <v>111.5</v>
      </c>
      <c r="K42">
        <v>108.2</v>
      </c>
      <c r="L42">
        <v>95.4</v>
      </c>
      <c r="M42">
        <v>113.5</v>
      </c>
      <c r="N42">
        <v>112.1</v>
      </c>
      <c r="O42">
        <v>119.9</v>
      </c>
      <c r="P42">
        <v>115.2</v>
      </c>
      <c r="Q42">
        <v>116.2</v>
      </c>
      <c r="R42">
        <v>115.3</v>
      </c>
      <c r="S42">
        <v>111.7</v>
      </c>
      <c r="T42">
        <v>114.7</v>
      </c>
      <c r="U42">
        <v>112.5</v>
      </c>
      <c r="V42">
        <v>111.1</v>
      </c>
      <c r="W42">
        <v>112.6</v>
      </c>
      <c r="X42">
        <v>110.4</v>
      </c>
      <c r="Y42">
        <v>111.3</v>
      </c>
      <c r="Z42">
        <v>110.3</v>
      </c>
      <c r="AA42">
        <v>111.6</v>
      </c>
      <c r="AB42">
        <v>108.7</v>
      </c>
      <c r="AC42">
        <v>111</v>
      </c>
      <c r="AD42">
        <v>113.1</v>
      </c>
    </row>
    <row r="43" spans="1:30" hidden="1" x14ac:dyDescent="0.3">
      <c r="A43" t="s">
        <v>34</v>
      </c>
      <c r="B43">
        <v>2014</v>
      </c>
      <c r="C43" t="s">
        <v>35</v>
      </c>
      <c r="D43">
        <v>120.2</v>
      </c>
      <c r="E43">
        <v>119.2</v>
      </c>
      <c r="F43">
        <v>122.5</v>
      </c>
      <c r="G43">
        <v>115.1</v>
      </c>
      <c r="H43">
        <v>106.6</v>
      </c>
      <c r="I43">
        <v>115.4</v>
      </c>
      <c r="J43">
        <v>114.5</v>
      </c>
      <c r="K43">
        <v>109.3</v>
      </c>
      <c r="L43">
        <v>99.2</v>
      </c>
      <c r="M43">
        <v>111.4</v>
      </c>
      <c r="N43">
        <v>112.6</v>
      </c>
      <c r="O43">
        <v>118.8</v>
      </c>
      <c r="P43">
        <v>115.3</v>
      </c>
      <c r="Q43">
        <v>114.7</v>
      </c>
      <c r="R43">
        <v>116.4</v>
      </c>
      <c r="S43">
        <v>113.3</v>
      </c>
      <c r="T43">
        <v>115.9</v>
      </c>
      <c r="U43">
        <v>112.5</v>
      </c>
      <c r="V43">
        <v>112.4</v>
      </c>
      <c r="W43">
        <v>112.8</v>
      </c>
      <c r="X43">
        <v>110.7</v>
      </c>
      <c r="Y43">
        <v>111.1</v>
      </c>
      <c r="Z43">
        <v>110.1</v>
      </c>
      <c r="AA43">
        <v>111.8</v>
      </c>
      <c r="AB43">
        <v>108.7</v>
      </c>
      <c r="AC43">
        <v>110.9</v>
      </c>
      <c r="AD43">
        <v>113.6</v>
      </c>
    </row>
    <row r="44" spans="1:30" hidden="1" x14ac:dyDescent="0.3">
      <c r="A44" t="s">
        <v>30</v>
      </c>
      <c r="B44">
        <v>2014</v>
      </c>
      <c r="C44" t="s">
        <v>36</v>
      </c>
      <c r="D44">
        <v>120.1</v>
      </c>
      <c r="E44">
        <v>118.1</v>
      </c>
      <c r="F44">
        <v>120.7</v>
      </c>
      <c r="G44">
        <v>116.1</v>
      </c>
      <c r="H44">
        <v>109.3</v>
      </c>
      <c r="I44">
        <v>119.6</v>
      </c>
      <c r="J44">
        <v>117.9</v>
      </c>
      <c r="K44">
        <v>110.2</v>
      </c>
      <c r="L44">
        <v>101.2</v>
      </c>
      <c r="M44">
        <v>110.7</v>
      </c>
      <c r="N44">
        <v>113</v>
      </c>
      <c r="O44">
        <v>118.3</v>
      </c>
      <c r="P44">
        <v>116.2</v>
      </c>
      <c r="Q44">
        <v>114.6</v>
      </c>
      <c r="R44">
        <v>117.5</v>
      </c>
      <c r="S44">
        <v>114.9</v>
      </c>
      <c r="T44">
        <v>117.2</v>
      </c>
      <c r="U44" t="s">
        <v>32</v>
      </c>
      <c r="V44">
        <v>113.4</v>
      </c>
      <c r="W44">
        <v>113.4</v>
      </c>
      <c r="X44">
        <v>111.4</v>
      </c>
      <c r="Y44">
        <v>111.2</v>
      </c>
      <c r="Z44">
        <v>110.2</v>
      </c>
      <c r="AA44">
        <v>112.4</v>
      </c>
      <c r="AB44">
        <v>108.9</v>
      </c>
      <c r="AC44">
        <v>111.3</v>
      </c>
      <c r="AD44">
        <v>114.6</v>
      </c>
    </row>
    <row r="45" spans="1:30" hidden="1" x14ac:dyDescent="0.3">
      <c r="A45" t="s">
        <v>33</v>
      </c>
      <c r="B45">
        <v>2014</v>
      </c>
      <c r="C45" t="s">
        <v>36</v>
      </c>
      <c r="D45">
        <v>122.1</v>
      </c>
      <c r="E45">
        <v>121.4</v>
      </c>
      <c r="F45">
        <v>121.5</v>
      </c>
      <c r="G45">
        <v>116.2</v>
      </c>
      <c r="H45">
        <v>102.8</v>
      </c>
      <c r="I45">
        <v>117.7</v>
      </c>
      <c r="J45">
        <v>113.3</v>
      </c>
      <c r="K45">
        <v>108.9</v>
      </c>
      <c r="L45">
        <v>96.3</v>
      </c>
      <c r="M45">
        <v>114.1</v>
      </c>
      <c r="N45">
        <v>112.2</v>
      </c>
      <c r="O45">
        <v>120.5</v>
      </c>
      <c r="P45">
        <v>116</v>
      </c>
      <c r="Q45">
        <v>116.7</v>
      </c>
      <c r="R45">
        <v>115.8</v>
      </c>
      <c r="S45">
        <v>112.1</v>
      </c>
      <c r="T45">
        <v>115.2</v>
      </c>
      <c r="U45">
        <v>113.2</v>
      </c>
      <c r="V45">
        <v>110.9</v>
      </c>
      <c r="W45">
        <v>113</v>
      </c>
      <c r="X45">
        <v>110.8</v>
      </c>
      <c r="Y45">
        <v>111.6</v>
      </c>
      <c r="Z45">
        <v>110.9</v>
      </c>
      <c r="AA45">
        <v>111.8</v>
      </c>
      <c r="AB45">
        <v>109.2</v>
      </c>
      <c r="AC45">
        <v>111.4</v>
      </c>
      <c r="AD45">
        <v>113.7</v>
      </c>
    </row>
    <row r="46" spans="1:30" hidden="1" x14ac:dyDescent="0.3">
      <c r="A46" t="s">
        <v>34</v>
      </c>
      <c r="B46">
        <v>2014</v>
      </c>
      <c r="C46" t="s">
        <v>47</v>
      </c>
      <c r="D46">
        <v>120.7</v>
      </c>
      <c r="E46">
        <v>119.3</v>
      </c>
      <c r="F46">
        <v>121</v>
      </c>
      <c r="G46">
        <v>116.1</v>
      </c>
      <c r="H46">
        <v>106.9</v>
      </c>
      <c r="I46">
        <v>118.7</v>
      </c>
      <c r="J46">
        <v>116.3</v>
      </c>
      <c r="K46">
        <v>109.8</v>
      </c>
      <c r="L46">
        <v>99.6</v>
      </c>
      <c r="M46">
        <v>111.8</v>
      </c>
      <c r="N46">
        <v>112.7</v>
      </c>
      <c r="O46">
        <v>119.3</v>
      </c>
      <c r="P46">
        <v>116.1</v>
      </c>
      <c r="Q46">
        <v>115.2</v>
      </c>
      <c r="R46">
        <v>116.8</v>
      </c>
      <c r="S46">
        <v>113.7</v>
      </c>
      <c r="T46">
        <v>116.4</v>
      </c>
      <c r="U46">
        <v>113.2</v>
      </c>
      <c r="V46">
        <v>112.5</v>
      </c>
      <c r="W46">
        <v>113.2</v>
      </c>
      <c r="X46">
        <v>111.2</v>
      </c>
      <c r="Y46">
        <v>111.4</v>
      </c>
      <c r="Z46">
        <v>110.6</v>
      </c>
      <c r="AA46">
        <v>112</v>
      </c>
      <c r="AB46">
        <v>109</v>
      </c>
      <c r="AC46">
        <v>111.3</v>
      </c>
      <c r="AD46">
        <v>114.2</v>
      </c>
    </row>
    <row r="47" spans="1:30" hidden="1" x14ac:dyDescent="0.3">
      <c r="A47" t="s">
        <v>30</v>
      </c>
      <c r="B47">
        <v>2014</v>
      </c>
      <c r="C47" t="s">
        <v>37</v>
      </c>
      <c r="D47">
        <v>120.2</v>
      </c>
      <c r="E47">
        <v>118.9</v>
      </c>
      <c r="F47">
        <v>118.1</v>
      </c>
      <c r="G47">
        <v>117</v>
      </c>
      <c r="H47">
        <v>109.7</v>
      </c>
      <c r="I47">
        <v>125.5</v>
      </c>
      <c r="J47">
        <v>120.5</v>
      </c>
      <c r="K47">
        <v>111</v>
      </c>
      <c r="L47">
        <v>102.6</v>
      </c>
      <c r="M47">
        <v>111.2</v>
      </c>
      <c r="N47">
        <v>113.5</v>
      </c>
      <c r="O47">
        <v>118.7</v>
      </c>
      <c r="P47">
        <v>117.2</v>
      </c>
      <c r="Q47">
        <v>115.4</v>
      </c>
      <c r="R47">
        <v>118.1</v>
      </c>
      <c r="S47">
        <v>116.1</v>
      </c>
      <c r="T47">
        <v>117.8</v>
      </c>
      <c r="U47" t="s">
        <v>32</v>
      </c>
      <c r="V47">
        <v>113.4</v>
      </c>
      <c r="W47">
        <v>113.7</v>
      </c>
      <c r="X47">
        <v>111.8</v>
      </c>
      <c r="Y47">
        <v>111.2</v>
      </c>
      <c r="Z47">
        <v>110.5</v>
      </c>
      <c r="AA47">
        <v>113</v>
      </c>
      <c r="AB47">
        <v>108.9</v>
      </c>
      <c r="AC47">
        <v>111.5</v>
      </c>
      <c r="AD47">
        <v>115.4</v>
      </c>
    </row>
    <row r="48" spans="1:30" hidden="1" x14ac:dyDescent="0.3">
      <c r="A48" t="s">
        <v>33</v>
      </c>
      <c r="B48">
        <v>2014</v>
      </c>
      <c r="C48" t="s">
        <v>37</v>
      </c>
      <c r="D48">
        <v>122.5</v>
      </c>
      <c r="E48">
        <v>121.7</v>
      </c>
      <c r="F48">
        <v>113.3</v>
      </c>
      <c r="G48">
        <v>117</v>
      </c>
      <c r="H48">
        <v>103.1</v>
      </c>
      <c r="I48">
        <v>126.7</v>
      </c>
      <c r="J48">
        <v>121.2</v>
      </c>
      <c r="K48">
        <v>111</v>
      </c>
      <c r="L48">
        <v>100.3</v>
      </c>
      <c r="M48">
        <v>115.3</v>
      </c>
      <c r="N48">
        <v>112.7</v>
      </c>
      <c r="O48">
        <v>121</v>
      </c>
      <c r="P48">
        <v>118.2</v>
      </c>
      <c r="Q48">
        <v>117.6</v>
      </c>
      <c r="R48">
        <v>116.3</v>
      </c>
      <c r="S48">
        <v>112.5</v>
      </c>
      <c r="T48">
        <v>115.7</v>
      </c>
      <c r="U48">
        <v>113.9</v>
      </c>
      <c r="V48">
        <v>110.9</v>
      </c>
      <c r="W48">
        <v>113.4</v>
      </c>
      <c r="X48">
        <v>111</v>
      </c>
      <c r="Y48">
        <v>111.2</v>
      </c>
      <c r="Z48">
        <v>111.2</v>
      </c>
      <c r="AA48">
        <v>112.5</v>
      </c>
      <c r="AB48">
        <v>109.1</v>
      </c>
      <c r="AC48">
        <v>111.4</v>
      </c>
      <c r="AD48">
        <v>114.7</v>
      </c>
    </row>
    <row r="49" spans="1:30" hidden="1" x14ac:dyDescent="0.3">
      <c r="A49" t="s">
        <v>34</v>
      </c>
      <c r="B49">
        <v>2014</v>
      </c>
      <c r="C49" t="s">
        <v>37</v>
      </c>
      <c r="D49">
        <v>120.9</v>
      </c>
      <c r="E49">
        <v>119.9</v>
      </c>
      <c r="F49">
        <v>116.2</v>
      </c>
      <c r="G49">
        <v>117</v>
      </c>
      <c r="H49">
        <v>107.3</v>
      </c>
      <c r="I49">
        <v>126.1</v>
      </c>
      <c r="J49">
        <v>120.7</v>
      </c>
      <c r="K49">
        <v>111</v>
      </c>
      <c r="L49">
        <v>101.8</v>
      </c>
      <c r="M49">
        <v>112.6</v>
      </c>
      <c r="N49">
        <v>113.2</v>
      </c>
      <c r="O49">
        <v>119.8</v>
      </c>
      <c r="P49">
        <v>117.6</v>
      </c>
      <c r="Q49">
        <v>116</v>
      </c>
      <c r="R49">
        <v>117.4</v>
      </c>
      <c r="S49">
        <v>114.6</v>
      </c>
      <c r="T49">
        <v>117</v>
      </c>
      <c r="U49">
        <v>113.9</v>
      </c>
      <c r="V49">
        <v>112.5</v>
      </c>
      <c r="W49">
        <v>113.6</v>
      </c>
      <c r="X49">
        <v>111.5</v>
      </c>
      <c r="Y49">
        <v>111.2</v>
      </c>
      <c r="Z49">
        <v>110.9</v>
      </c>
      <c r="AA49">
        <v>112.7</v>
      </c>
      <c r="AB49">
        <v>109</v>
      </c>
      <c r="AC49">
        <v>111.5</v>
      </c>
      <c r="AD49">
        <v>115.1</v>
      </c>
    </row>
    <row r="50" spans="1:30" hidden="1" x14ac:dyDescent="0.3">
      <c r="A50" t="s">
        <v>30</v>
      </c>
      <c r="B50">
        <v>2014</v>
      </c>
      <c r="C50" t="s">
        <v>38</v>
      </c>
      <c r="D50">
        <v>120.3</v>
      </c>
      <c r="E50">
        <v>120.2</v>
      </c>
      <c r="F50">
        <v>116.9</v>
      </c>
      <c r="G50">
        <v>118</v>
      </c>
      <c r="H50">
        <v>110.1</v>
      </c>
      <c r="I50">
        <v>126.3</v>
      </c>
      <c r="J50">
        <v>123.9</v>
      </c>
      <c r="K50">
        <v>111.5</v>
      </c>
      <c r="L50">
        <v>103.5</v>
      </c>
      <c r="M50">
        <v>111.6</v>
      </c>
      <c r="N50">
        <v>114.2</v>
      </c>
      <c r="O50">
        <v>119.2</v>
      </c>
      <c r="P50">
        <v>118.2</v>
      </c>
      <c r="Q50">
        <v>116.3</v>
      </c>
      <c r="R50">
        <v>118.7</v>
      </c>
      <c r="S50">
        <v>116.8</v>
      </c>
      <c r="T50">
        <v>118.5</v>
      </c>
      <c r="U50" t="s">
        <v>32</v>
      </c>
      <c r="V50">
        <v>113.4</v>
      </c>
      <c r="W50">
        <v>114.1</v>
      </c>
      <c r="X50">
        <v>112.1</v>
      </c>
      <c r="Y50">
        <v>111.4</v>
      </c>
      <c r="Z50">
        <v>110.9</v>
      </c>
      <c r="AA50">
        <v>113.1</v>
      </c>
      <c r="AB50">
        <v>108.9</v>
      </c>
      <c r="AC50">
        <v>111.8</v>
      </c>
      <c r="AD50">
        <v>116</v>
      </c>
    </row>
    <row r="51" spans="1:30" hidden="1" x14ac:dyDescent="0.3">
      <c r="A51" t="s">
        <v>33</v>
      </c>
      <c r="B51">
        <v>2014</v>
      </c>
      <c r="C51" t="s">
        <v>38</v>
      </c>
      <c r="D51">
        <v>122.7</v>
      </c>
      <c r="E51">
        <v>124.1</v>
      </c>
      <c r="F51">
        <v>114.2</v>
      </c>
      <c r="G51">
        <v>119.1</v>
      </c>
      <c r="H51">
        <v>103.5</v>
      </c>
      <c r="I51">
        <v>129.19999999999999</v>
      </c>
      <c r="J51">
        <v>127</v>
      </c>
      <c r="K51">
        <v>112.6</v>
      </c>
      <c r="L51">
        <v>101.3</v>
      </c>
      <c r="M51">
        <v>117</v>
      </c>
      <c r="N51">
        <v>112.9</v>
      </c>
      <c r="O51">
        <v>121.7</v>
      </c>
      <c r="P51">
        <v>120</v>
      </c>
      <c r="Q51">
        <v>118.3</v>
      </c>
      <c r="R51">
        <v>116.8</v>
      </c>
      <c r="S51">
        <v>112.9</v>
      </c>
      <c r="T51">
        <v>116.2</v>
      </c>
      <c r="U51">
        <v>114.3</v>
      </c>
      <c r="V51">
        <v>111.1</v>
      </c>
      <c r="W51">
        <v>114.1</v>
      </c>
      <c r="X51">
        <v>111.2</v>
      </c>
      <c r="Y51">
        <v>111.3</v>
      </c>
      <c r="Z51">
        <v>111.5</v>
      </c>
      <c r="AA51">
        <v>112.9</v>
      </c>
      <c r="AB51">
        <v>109.3</v>
      </c>
      <c r="AC51">
        <v>111.7</v>
      </c>
      <c r="AD51">
        <v>115.6</v>
      </c>
    </row>
    <row r="52" spans="1:30" hidden="1" x14ac:dyDescent="0.3">
      <c r="A52" t="s">
        <v>34</v>
      </c>
      <c r="B52">
        <v>2014</v>
      </c>
      <c r="C52" t="s">
        <v>38</v>
      </c>
      <c r="D52">
        <v>121.1</v>
      </c>
      <c r="E52">
        <v>121.6</v>
      </c>
      <c r="F52">
        <v>115.9</v>
      </c>
      <c r="G52">
        <v>118.4</v>
      </c>
      <c r="H52">
        <v>107.7</v>
      </c>
      <c r="I52">
        <v>127.7</v>
      </c>
      <c r="J52">
        <v>125</v>
      </c>
      <c r="K52">
        <v>111.9</v>
      </c>
      <c r="L52">
        <v>102.8</v>
      </c>
      <c r="M52">
        <v>113.4</v>
      </c>
      <c r="N52">
        <v>113.7</v>
      </c>
      <c r="O52">
        <v>120.4</v>
      </c>
      <c r="P52">
        <v>118.9</v>
      </c>
      <c r="Q52">
        <v>116.8</v>
      </c>
      <c r="R52">
        <v>118</v>
      </c>
      <c r="S52">
        <v>115.2</v>
      </c>
      <c r="T52">
        <v>117.6</v>
      </c>
      <c r="U52">
        <v>114.3</v>
      </c>
      <c r="V52">
        <v>112.5</v>
      </c>
      <c r="W52">
        <v>114.1</v>
      </c>
      <c r="X52">
        <v>111.8</v>
      </c>
      <c r="Y52">
        <v>111.3</v>
      </c>
      <c r="Z52">
        <v>111.2</v>
      </c>
      <c r="AA52">
        <v>113</v>
      </c>
      <c r="AB52">
        <v>109.1</v>
      </c>
      <c r="AC52">
        <v>111.8</v>
      </c>
      <c r="AD52">
        <v>115.8</v>
      </c>
    </row>
    <row r="53" spans="1:30" hidden="1" x14ac:dyDescent="0.3">
      <c r="A53" t="s">
        <v>30</v>
      </c>
      <c r="B53">
        <v>2014</v>
      </c>
      <c r="C53" t="s">
        <v>39</v>
      </c>
      <c r="D53">
        <v>120.7</v>
      </c>
      <c r="E53">
        <v>121.6</v>
      </c>
      <c r="F53">
        <v>116.1</v>
      </c>
      <c r="G53">
        <v>119.3</v>
      </c>
      <c r="H53">
        <v>110.3</v>
      </c>
      <c r="I53">
        <v>125.8</v>
      </c>
      <c r="J53">
        <v>129.30000000000001</v>
      </c>
      <c r="K53">
        <v>112.2</v>
      </c>
      <c r="L53">
        <v>103.6</v>
      </c>
      <c r="M53">
        <v>112.3</v>
      </c>
      <c r="N53">
        <v>114.9</v>
      </c>
      <c r="O53">
        <v>120.1</v>
      </c>
      <c r="P53">
        <v>119.5</v>
      </c>
      <c r="Q53">
        <v>117.3</v>
      </c>
      <c r="R53">
        <v>119.7</v>
      </c>
      <c r="S53">
        <v>117.3</v>
      </c>
      <c r="T53">
        <v>119.3</v>
      </c>
      <c r="U53" t="s">
        <v>32</v>
      </c>
      <c r="V53">
        <v>114.4</v>
      </c>
      <c r="W53">
        <v>114.9</v>
      </c>
      <c r="X53">
        <v>112.8</v>
      </c>
      <c r="Y53">
        <v>112.2</v>
      </c>
      <c r="Z53">
        <v>111.4</v>
      </c>
      <c r="AA53">
        <v>114.3</v>
      </c>
      <c r="AB53">
        <v>108</v>
      </c>
      <c r="AC53">
        <v>112.3</v>
      </c>
      <c r="AD53">
        <v>117</v>
      </c>
    </row>
    <row r="54" spans="1:30" hidden="1" x14ac:dyDescent="0.3">
      <c r="A54" t="s">
        <v>33</v>
      </c>
      <c r="B54">
        <v>2014</v>
      </c>
      <c r="C54" t="s">
        <v>39</v>
      </c>
      <c r="D54">
        <v>123.1</v>
      </c>
      <c r="E54">
        <v>125.9</v>
      </c>
      <c r="F54">
        <v>115.4</v>
      </c>
      <c r="G54">
        <v>120.4</v>
      </c>
      <c r="H54">
        <v>103.4</v>
      </c>
      <c r="I54">
        <v>131.19999999999999</v>
      </c>
      <c r="J54">
        <v>137.5</v>
      </c>
      <c r="K54">
        <v>112.8</v>
      </c>
      <c r="L54">
        <v>101.4</v>
      </c>
      <c r="M54">
        <v>118.3</v>
      </c>
      <c r="N54">
        <v>113.2</v>
      </c>
      <c r="O54">
        <v>122.4</v>
      </c>
      <c r="P54">
        <v>122</v>
      </c>
      <c r="Q54">
        <v>119</v>
      </c>
      <c r="R54">
        <v>117.4</v>
      </c>
      <c r="S54">
        <v>113.2</v>
      </c>
      <c r="T54">
        <v>116.7</v>
      </c>
      <c r="U54">
        <v>113.9</v>
      </c>
      <c r="V54">
        <v>111.2</v>
      </c>
      <c r="W54">
        <v>114.3</v>
      </c>
      <c r="X54">
        <v>111.4</v>
      </c>
      <c r="Y54">
        <v>111.5</v>
      </c>
      <c r="Z54">
        <v>111.8</v>
      </c>
      <c r="AA54">
        <v>115.1</v>
      </c>
      <c r="AB54">
        <v>108.7</v>
      </c>
      <c r="AC54">
        <v>112.2</v>
      </c>
      <c r="AD54">
        <v>116.4</v>
      </c>
    </row>
    <row r="55" spans="1:30" hidden="1" x14ac:dyDescent="0.3">
      <c r="A55" t="s">
        <v>34</v>
      </c>
      <c r="B55">
        <v>2014</v>
      </c>
      <c r="C55" t="s">
        <v>39</v>
      </c>
      <c r="D55">
        <v>121.5</v>
      </c>
      <c r="E55">
        <v>123.1</v>
      </c>
      <c r="F55">
        <v>115.8</v>
      </c>
      <c r="G55">
        <v>119.7</v>
      </c>
      <c r="H55">
        <v>107.8</v>
      </c>
      <c r="I55">
        <v>128.30000000000001</v>
      </c>
      <c r="J55">
        <v>132.1</v>
      </c>
      <c r="K55">
        <v>112.4</v>
      </c>
      <c r="L55">
        <v>102.9</v>
      </c>
      <c r="M55">
        <v>114.3</v>
      </c>
      <c r="N55">
        <v>114.2</v>
      </c>
      <c r="O55">
        <v>121.2</v>
      </c>
      <c r="P55">
        <v>120.4</v>
      </c>
      <c r="Q55">
        <v>117.8</v>
      </c>
      <c r="R55">
        <v>118.8</v>
      </c>
      <c r="S55">
        <v>115.6</v>
      </c>
      <c r="T55">
        <v>118.3</v>
      </c>
      <c r="U55">
        <v>113.9</v>
      </c>
      <c r="V55">
        <v>113.2</v>
      </c>
      <c r="W55">
        <v>114.6</v>
      </c>
      <c r="X55">
        <v>112.3</v>
      </c>
      <c r="Y55">
        <v>111.8</v>
      </c>
      <c r="Z55">
        <v>111.6</v>
      </c>
      <c r="AA55">
        <v>114.8</v>
      </c>
      <c r="AB55">
        <v>108.3</v>
      </c>
      <c r="AC55">
        <v>112.3</v>
      </c>
      <c r="AD55">
        <v>116.7</v>
      </c>
    </row>
    <row r="56" spans="1:30" hidden="1" x14ac:dyDescent="0.3">
      <c r="A56" t="s">
        <v>30</v>
      </c>
      <c r="B56">
        <v>2014</v>
      </c>
      <c r="C56" t="s">
        <v>40</v>
      </c>
      <c r="D56">
        <v>121.7</v>
      </c>
      <c r="E56">
        <v>122.5</v>
      </c>
      <c r="F56">
        <v>117.7</v>
      </c>
      <c r="G56">
        <v>120.6</v>
      </c>
      <c r="H56">
        <v>110.4</v>
      </c>
      <c r="I56">
        <v>129.1</v>
      </c>
      <c r="J56">
        <v>150.1</v>
      </c>
      <c r="K56">
        <v>113.2</v>
      </c>
      <c r="L56">
        <v>104.8</v>
      </c>
      <c r="M56">
        <v>113.3</v>
      </c>
      <c r="N56">
        <v>115.6</v>
      </c>
      <c r="O56">
        <v>120.9</v>
      </c>
      <c r="P56">
        <v>123.3</v>
      </c>
      <c r="Q56">
        <v>118</v>
      </c>
      <c r="R56">
        <v>120.7</v>
      </c>
      <c r="S56">
        <v>118.3</v>
      </c>
      <c r="T56">
        <v>120.3</v>
      </c>
      <c r="U56" t="s">
        <v>32</v>
      </c>
      <c r="V56">
        <v>115.3</v>
      </c>
      <c r="W56">
        <v>115.4</v>
      </c>
      <c r="X56">
        <v>113.4</v>
      </c>
      <c r="Y56">
        <v>113.2</v>
      </c>
      <c r="Z56">
        <v>111.8</v>
      </c>
      <c r="AA56">
        <v>115.5</v>
      </c>
      <c r="AB56">
        <v>108.8</v>
      </c>
      <c r="AC56">
        <v>113.1</v>
      </c>
      <c r="AD56">
        <v>119.5</v>
      </c>
    </row>
    <row r="57" spans="1:30" hidden="1" x14ac:dyDescent="0.3">
      <c r="A57" t="s">
        <v>33</v>
      </c>
      <c r="B57">
        <v>2014</v>
      </c>
      <c r="C57" t="s">
        <v>40</v>
      </c>
      <c r="D57">
        <v>123.8</v>
      </c>
      <c r="E57">
        <v>126.4</v>
      </c>
      <c r="F57">
        <v>118</v>
      </c>
      <c r="G57">
        <v>121.6</v>
      </c>
      <c r="H57">
        <v>103.5</v>
      </c>
      <c r="I57">
        <v>133.69999999999999</v>
      </c>
      <c r="J57">
        <v>172.4</v>
      </c>
      <c r="K57">
        <v>113.1</v>
      </c>
      <c r="L57">
        <v>102.7</v>
      </c>
      <c r="M57">
        <v>120</v>
      </c>
      <c r="N57">
        <v>113.8</v>
      </c>
      <c r="O57">
        <v>123.4</v>
      </c>
      <c r="P57">
        <v>127.1</v>
      </c>
      <c r="Q57">
        <v>121</v>
      </c>
      <c r="R57">
        <v>118</v>
      </c>
      <c r="S57">
        <v>113.6</v>
      </c>
      <c r="T57">
        <v>117.4</v>
      </c>
      <c r="U57">
        <v>114.8</v>
      </c>
      <c r="V57">
        <v>111.6</v>
      </c>
      <c r="W57">
        <v>114.9</v>
      </c>
      <c r="X57">
        <v>111.5</v>
      </c>
      <c r="Y57">
        <v>113</v>
      </c>
      <c r="Z57">
        <v>112.4</v>
      </c>
      <c r="AA57">
        <v>117.8</v>
      </c>
      <c r="AB57">
        <v>109.7</v>
      </c>
      <c r="AC57">
        <v>113.5</v>
      </c>
      <c r="AD57">
        <v>118.9</v>
      </c>
    </row>
    <row r="58" spans="1:30" hidden="1" x14ac:dyDescent="0.3">
      <c r="A58" t="s">
        <v>34</v>
      </c>
      <c r="B58">
        <v>2014</v>
      </c>
      <c r="C58" t="s">
        <v>40</v>
      </c>
      <c r="D58">
        <v>122.4</v>
      </c>
      <c r="E58">
        <v>123.9</v>
      </c>
      <c r="F58">
        <v>117.8</v>
      </c>
      <c r="G58">
        <v>121</v>
      </c>
      <c r="H58">
        <v>107.9</v>
      </c>
      <c r="I58">
        <v>131.19999999999999</v>
      </c>
      <c r="J58">
        <v>157.69999999999999</v>
      </c>
      <c r="K58">
        <v>113.2</v>
      </c>
      <c r="L58">
        <v>104.1</v>
      </c>
      <c r="M58">
        <v>115.5</v>
      </c>
      <c r="N58">
        <v>114.8</v>
      </c>
      <c r="O58">
        <v>122.1</v>
      </c>
      <c r="P58">
        <v>124.7</v>
      </c>
      <c r="Q58">
        <v>118.8</v>
      </c>
      <c r="R58">
        <v>119.6</v>
      </c>
      <c r="S58">
        <v>116.3</v>
      </c>
      <c r="T58">
        <v>119.1</v>
      </c>
      <c r="U58">
        <v>114.8</v>
      </c>
      <c r="V58">
        <v>113.9</v>
      </c>
      <c r="W58">
        <v>115.2</v>
      </c>
      <c r="X58">
        <v>112.7</v>
      </c>
      <c r="Y58">
        <v>113.1</v>
      </c>
      <c r="Z58">
        <v>112.1</v>
      </c>
      <c r="AA58">
        <v>116.8</v>
      </c>
      <c r="AB58">
        <v>109.2</v>
      </c>
      <c r="AC58">
        <v>113.3</v>
      </c>
      <c r="AD58">
        <v>119.2</v>
      </c>
    </row>
    <row r="59" spans="1:30" hidden="1" x14ac:dyDescent="0.3">
      <c r="A59" t="s">
        <v>30</v>
      </c>
      <c r="B59">
        <v>2014</v>
      </c>
      <c r="C59" t="s">
        <v>41</v>
      </c>
      <c r="D59">
        <v>121.8</v>
      </c>
      <c r="E59">
        <v>122.8</v>
      </c>
      <c r="F59">
        <v>117.8</v>
      </c>
      <c r="G59">
        <v>121.9</v>
      </c>
      <c r="H59">
        <v>110.6</v>
      </c>
      <c r="I59">
        <v>129.69999999999999</v>
      </c>
      <c r="J59">
        <v>161.1</v>
      </c>
      <c r="K59">
        <v>114.1</v>
      </c>
      <c r="L59">
        <v>105.1</v>
      </c>
      <c r="M59">
        <v>114.6</v>
      </c>
      <c r="N59">
        <v>115.8</v>
      </c>
      <c r="O59">
        <v>121.7</v>
      </c>
      <c r="P59">
        <v>125.3</v>
      </c>
      <c r="Q59">
        <v>118.8</v>
      </c>
      <c r="R59">
        <v>120.9</v>
      </c>
      <c r="S59">
        <v>118.8</v>
      </c>
      <c r="T59">
        <v>120.7</v>
      </c>
      <c r="U59" t="s">
        <v>32</v>
      </c>
      <c r="V59">
        <v>115.4</v>
      </c>
      <c r="W59">
        <v>115.9</v>
      </c>
      <c r="X59">
        <v>114</v>
      </c>
      <c r="Y59">
        <v>113.2</v>
      </c>
      <c r="Z59">
        <v>112.2</v>
      </c>
      <c r="AA59">
        <v>116.2</v>
      </c>
      <c r="AB59">
        <v>109.4</v>
      </c>
      <c r="AC59">
        <v>113.5</v>
      </c>
      <c r="AD59">
        <v>120.7</v>
      </c>
    </row>
    <row r="60" spans="1:30" hidden="1" x14ac:dyDescent="0.3">
      <c r="A60" t="s">
        <v>33</v>
      </c>
      <c r="B60">
        <v>2014</v>
      </c>
      <c r="C60" t="s">
        <v>41</v>
      </c>
      <c r="D60">
        <v>124.8</v>
      </c>
      <c r="E60">
        <v>127.3</v>
      </c>
      <c r="F60">
        <v>116.5</v>
      </c>
      <c r="G60">
        <v>122.2</v>
      </c>
      <c r="H60">
        <v>103.6</v>
      </c>
      <c r="I60">
        <v>132.69999999999999</v>
      </c>
      <c r="J60">
        <v>181.9</v>
      </c>
      <c r="K60">
        <v>115.2</v>
      </c>
      <c r="L60">
        <v>102.7</v>
      </c>
      <c r="M60">
        <v>122.1</v>
      </c>
      <c r="N60">
        <v>114.4</v>
      </c>
      <c r="O60">
        <v>124.7</v>
      </c>
      <c r="P60">
        <v>128.9</v>
      </c>
      <c r="Q60">
        <v>123</v>
      </c>
      <c r="R60">
        <v>118.6</v>
      </c>
      <c r="S60">
        <v>114.1</v>
      </c>
      <c r="T60">
        <v>117.9</v>
      </c>
      <c r="U60">
        <v>115.5</v>
      </c>
      <c r="V60">
        <v>111.8</v>
      </c>
      <c r="W60">
        <v>115.3</v>
      </c>
      <c r="X60">
        <v>112.2</v>
      </c>
      <c r="Y60">
        <v>112.5</v>
      </c>
      <c r="Z60">
        <v>112.9</v>
      </c>
      <c r="AA60">
        <v>119.2</v>
      </c>
      <c r="AB60">
        <v>110.5</v>
      </c>
      <c r="AC60">
        <v>113.9</v>
      </c>
      <c r="AD60">
        <v>119.9</v>
      </c>
    </row>
    <row r="61" spans="1:30" hidden="1" x14ac:dyDescent="0.3">
      <c r="A61" t="s">
        <v>34</v>
      </c>
      <c r="B61">
        <v>2014</v>
      </c>
      <c r="C61" t="s">
        <v>41</v>
      </c>
      <c r="D61">
        <v>122.7</v>
      </c>
      <c r="E61">
        <v>124.4</v>
      </c>
      <c r="F61">
        <v>117.3</v>
      </c>
      <c r="G61">
        <v>122</v>
      </c>
      <c r="H61">
        <v>108</v>
      </c>
      <c r="I61">
        <v>131.1</v>
      </c>
      <c r="J61">
        <v>168.2</v>
      </c>
      <c r="K61">
        <v>114.5</v>
      </c>
      <c r="L61">
        <v>104.3</v>
      </c>
      <c r="M61">
        <v>117.1</v>
      </c>
      <c r="N61">
        <v>115.2</v>
      </c>
      <c r="O61">
        <v>123.1</v>
      </c>
      <c r="P61">
        <v>126.6</v>
      </c>
      <c r="Q61">
        <v>119.9</v>
      </c>
      <c r="R61">
        <v>120</v>
      </c>
      <c r="S61">
        <v>116.8</v>
      </c>
      <c r="T61">
        <v>119.6</v>
      </c>
      <c r="U61">
        <v>115.5</v>
      </c>
      <c r="V61">
        <v>114</v>
      </c>
      <c r="W61">
        <v>115.6</v>
      </c>
      <c r="X61">
        <v>113.3</v>
      </c>
      <c r="Y61">
        <v>112.8</v>
      </c>
      <c r="Z61">
        <v>112.6</v>
      </c>
      <c r="AA61">
        <v>118</v>
      </c>
      <c r="AB61">
        <v>109.9</v>
      </c>
      <c r="AC61">
        <v>113.7</v>
      </c>
      <c r="AD61">
        <v>120.3</v>
      </c>
    </row>
    <row r="62" spans="1:30" hidden="1" x14ac:dyDescent="0.3">
      <c r="A62" t="s">
        <v>30</v>
      </c>
      <c r="B62">
        <v>2014</v>
      </c>
      <c r="C62" t="s">
        <v>42</v>
      </c>
      <c r="D62">
        <v>122.3</v>
      </c>
      <c r="E62">
        <v>122.4</v>
      </c>
      <c r="F62">
        <v>117.8</v>
      </c>
      <c r="G62">
        <v>122.7</v>
      </c>
      <c r="H62">
        <v>110.4</v>
      </c>
      <c r="I62">
        <v>129.80000000000001</v>
      </c>
      <c r="J62">
        <v>158.80000000000001</v>
      </c>
      <c r="K62">
        <v>115</v>
      </c>
      <c r="L62">
        <v>104.7</v>
      </c>
      <c r="M62">
        <v>114.9</v>
      </c>
      <c r="N62">
        <v>116.5</v>
      </c>
      <c r="O62">
        <v>122.6</v>
      </c>
      <c r="P62">
        <v>125.3</v>
      </c>
      <c r="Q62">
        <v>119.5</v>
      </c>
      <c r="R62">
        <v>121.7</v>
      </c>
      <c r="S62">
        <v>119.2</v>
      </c>
      <c r="T62">
        <v>121.3</v>
      </c>
      <c r="U62" t="s">
        <v>32</v>
      </c>
      <c r="V62">
        <v>115.8</v>
      </c>
      <c r="W62">
        <v>116.7</v>
      </c>
      <c r="X62">
        <v>114.5</v>
      </c>
      <c r="Y62">
        <v>112.8</v>
      </c>
      <c r="Z62">
        <v>112.6</v>
      </c>
      <c r="AA62">
        <v>116.6</v>
      </c>
      <c r="AB62">
        <v>109.1</v>
      </c>
      <c r="AC62">
        <v>113.7</v>
      </c>
      <c r="AD62">
        <v>120.9</v>
      </c>
    </row>
    <row r="63" spans="1:30" hidden="1" x14ac:dyDescent="0.3">
      <c r="A63" t="s">
        <v>33</v>
      </c>
      <c r="B63">
        <v>2014</v>
      </c>
      <c r="C63" t="s">
        <v>42</v>
      </c>
      <c r="D63">
        <v>124.2</v>
      </c>
      <c r="E63">
        <v>125.4</v>
      </c>
      <c r="F63">
        <v>116.4</v>
      </c>
      <c r="G63">
        <v>122.7</v>
      </c>
      <c r="H63">
        <v>103.5</v>
      </c>
      <c r="I63">
        <v>124.5</v>
      </c>
      <c r="J63">
        <v>168.6</v>
      </c>
      <c r="K63">
        <v>116.9</v>
      </c>
      <c r="L63">
        <v>101.9</v>
      </c>
      <c r="M63">
        <v>122.9</v>
      </c>
      <c r="N63">
        <v>114.8</v>
      </c>
      <c r="O63">
        <v>125.2</v>
      </c>
      <c r="P63">
        <v>126.7</v>
      </c>
      <c r="Q63">
        <v>124.3</v>
      </c>
      <c r="R63">
        <v>119.2</v>
      </c>
      <c r="S63">
        <v>114.5</v>
      </c>
      <c r="T63">
        <v>118.4</v>
      </c>
      <c r="U63">
        <v>116.1</v>
      </c>
      <c r="V63">
        <v>111.8</v>
      </c>
      <c r="W63">
        <v>115.5</v>
      </c>
      <c r="X63">
        <v>112.3</v>
      </c>
      <c r="Y63">
        <v>111.2</v>
      </c>
      <c r="Z63">
        <v>113.4</v>
      </c>
      <c r="AA63">
        <v>120</v>
      </c>
      <c r="AB63">
        <v>110</v>
      </c>
      <c r="AC63">
        <v>113.6</v>
      </c>
      <c r="AD63">
        <v>119.2</v>
      </c>
    </row>
    <row r="64" spans="1:30" hidden="1" x14ac:dyDescent="0.3">
      <c r="A64" t="s">
        <v>34</v>
      </c>
      <c r="B64">
        <v>2014</v>
      </c>
      <c r="C64" t="s">
        <v>42</v>
      </c>
      <c r="D64">
        <v>122.9</v>
      </c>
      <c r="E64">
        <v>123.5</v>
      </c>
      <c r="F64">
        <v>117.3</v>
      </c>
      <c r="G64">
        <v>122.7</v>
      </c>
      <c r="H64">
        <v>107.9</v>
      </c>
      <c r="I64">
        <v>127.3</v>
      </c>
      <c r="J64">
        <v>162.1</v>
      </c>
      <c r="K64">
        <v>115.6</v>
      </c>
      <c r="L64">
        <v>103.8</v>
      </c>
      <c r="M64">
        <v>117.6</v>
      </c>
      <c r="N64">
        <v>115.8</v>
      </c>
      <c r="O64">
        <v>123.8</v>
      </c>
      <c r="P64">
        <v>125.8</v>
      </c>
      <c r="Q64">
        <v>120.8</v>
      </c>
      <c r="R64">
        <v>120.7</v>
      </c>
      <c r="S64">
        <v>117.2</v>
      </c>
      <c r="T64">
        <v>120.1</v>
      </c>
      <c r="U64">
        <v>116.1</v>
      </c>
      <c r="V64">
        <v>114.3</v>
      </c>
      <c r="W64">
        <v>116.1</v>
      </c>
      <c r="X64">
        <v>113.7</v>
      </c>
      <c r="Y64">
        <v>112</v>
      </c>
      <c r="Z64">
        <v>113.1</v>
      </c>
      <c r="AA64">
        <v>118.6</v>
      </c>
      <c r="AB64">
        <v>109.5</v>
      </c>
      <c r="AC64">
        <v>113.7</v>
      </c>
      <c r="AD64">
        <v>120.1</v>
      </c>
    </row>
    <row r="65" spans="1:30" hidden="1" x14ac:dyDescent="0.3">
      <c r="A65" t="s">
        <v>30</v>
      </c>
      <c r="B65">
        <v>2014</v>
      </c>
      <c r="C65" t="s">
        <v>43</v>
      </c>
      <c r="D65">
        <v>122.6</v>
      </c>
      <c r="E65">
        <v>122.5</v>
      </c>
      <c r="F65">
        <v>118.3</v>
      </c>
      <c r="G65">
        <v>123.2</v>
      </c>
      <c r="H65">
        <v>110.5</v>
      </c>
      <c r="I65">
        <v>128.9</v>
      </c>
      <c r="J65">
        <v>155.30000000000001</v>
      </c>
      <c r="K65">
        <v>115.5</v>
      </c>
      <c r="L65">
        <v>104</v>
      </c>
      <c r="M65">
        <v>115.3</v>
      </c>
      <c r="N65">
        <v>116.8</v>
      </c>
      <c r="O65">
        <v>123.2</v>
      </c>
      <c r="P65">
        <v>125.1</v>
      </c>
      <c r="Q65">
        <v>120</v>
      </c>
      <c r="R65">
        <v>122.7</v>
      </c>
      <c r="S65">
        <v>120.3</v>
      </c>
      <c r="T65">
        <v>122.3</v>
      </c>
      <c r="U65" t="s">
        <v>32</v>
      </c>
      <c r="V65">
        <v>116.4</v>
      </c>
      <c r="W65">
        <v>117.5</v>
      </c>
      <c r="X65">
        <v>115.3</v>
      </c>
      <c r="Y65">
        <v>112.6</v>
      </c>
      <c r="Z65">
        <v>113</v>
      </c>
      <c r="AA65">
        <v>116.9</v>
      </c>
      <c r="AB65">
        <v>109.3</v>
      </c>
      <c r="AC65">
        <v>114</v>
      </c>
      <c r="AD65">
        <v>121</v>
      </c>
    </row>
    <row r="66" spans="1:30" hidden="1" x14ac:dyDescent="0.3">
      <c r="A66" t="s">
        <v>33</v>
      </c>
      <c r="B66">
        <v>2014</v>
      </c>
      <c r="C66" t="s">
        <v>43</v>
      </c>
      <c r="D66">
        <v>124.6</v>
      </c>
      <c r="E66">
        <v>126.1</v>
      </c>
      <c r="F66">
        <v>117.8</v>
      </c>
      <c r="G66">
        <v>123.1</v>
      </c>
      <c r="H66">
        <v>103.5</v>
      </c>
      <c r="I66">
        <v>123.5</v>
      </c>
      <c r="J66">
        <v>159.6</v>
      </c>
      <c r="K66">
        <v>117.4</v>
      </c>
      <c r="L66">
        <v>101.2</v>
      </c>
      <c r="M66">
        <v>123.8</v>
      </c>
      <c r="N66">
        <v>115.2</v>
      </c>
      <c r="O66">
        <v>125.9</v>
      </c>
      <c r="P66">
        <v>125.8</v>
      </c>
      <c r="Q66">
        <v>124.3</v>
      </c>
      <c r="R66">
        <v>119.6</v>
      </c>
      <c r="S66">
        <v>114.9</v>
      </c>
      <c r="T66">
        <v>118.9</v>
      </c>
      <c r="U66">
        <v>116.7</v>
      </c>
      <c r="V66">
        <v>112</v>
      </c>
      <c r="W66">
        <v>115.8</v>
      </c>
      <c r="X66">
        <v>112.6</v>
      </c>
      <c r="Y66">
        <v>111</v>
      </c>
      <c r="Z66">
        <v>113.6</v>
      </c>
      <c r="AA66">
        <v>120.2</v>
      </c>
      <c r="AB66">
        <v>110.1</v>
      </c>
      <c r="AC66">
        <v>113.7</v>
      </c>
      <c r="AD66">
        <v>119.1</v>
      </c>
    </row>
    <row r="67" spans="1:30" hidden="1" x14ac:dyDescent="0.3">
      <c r="A67" t="s">
        <v>34</v>
      </c>
      <c r="B67">
        <v>2014</v>
      </c>
      <c r="C67" t="s">
        <v>43</v>
      </c>
      <c r="D67">
        <v>123.2</v>
      </c>
      <c r="E67">
        <v>123.8</v>
      </c>
      <c r="F67">
        <v>118.1</v>
      </c>
      <c r="G67">
        <v>123.2</v>
      </c>
      <c r="H67">
        <v>107.9</v>
      </c>
      <c r="I67">
        <v>126.4</v>
      </c>
      <c r="J67">
        <v>156.80000000000001</v>
      </c>
      <c r="K67">
        <v>116.1</v>
      </c>
      <c r="L67">
        <v>103.1</v>
      </c>
      <c r="M67">
        <v>118.1</v>
      </c>
      <c r="N67">
        <v>116.1</v>
      </c>
      <c r="O67">
        <v>124.5</v>
      </c>
      <c r="P67">
        <v>125.4</v>
      </c>
      <c r="Q67">
        <v>121.1</v>
      </c>
      <c r="R67">
        <v>121.5</v>
      </c>
      <c r="S67">
        <v>118.1</v>
      </c>
      <c r="T67">
        <v>121</v>
      </c>
      <c r="U67">
        <v>116.7</v>
      </c>
      <c r="V67">
        <v>114.7</v>
      </c>
      <c r="W67">
        <v>116.7</v>
      </c>
      <c r="X67">
        <v>114.3</v>
      </c>
      <c r="Y67">
        <v>111.8</v>
      </c>
      <c r="Z67">
        <v>113.3</v>
      </c>
      <c r="AA67">
        <v>118.8</v>
      </c>
      <c r="AB67">
        <v>109.6</v>
      </c>
      <c r="AC67">
        <v>113.9</v>
      </c>
      <c r="AD67">
        <v>120.1</v>
      </c>
    </row>
    <row r="68" spans="1:30" hidden="1" x14ac:dyDescent="0.3">
      <c r="A68" t="s">
        <v>30</v>
      </c>
      <c r="B68">
        <v>2014</v>
      </c>
      <c r="C68" t="s">
        <v>45</v>
      </c>
      <c r="D68">
        <v>122.7</v>
      </c>
      <c r="E68">
        <v>122.6</v>
      </c>
      <c r="F68">
        <v>119.9</v>
      </c>
      <c r="G68">
        <v>124</v>
      </c>
      <c r="H68">
        <v>110.5</v>
      </c>
      <c r="I68">
        <v>128.80000000000001</v>
      </c>
      <c r="J68">
        <v>152</v>
      </c>
      <c r="K68">
        <v>116.2</v>
      </c>
      <c r="L68">
        <v>103.3</v>
      </c>
      <c r="M68">
        <v>115.8</v>
      </c>
      <c r="N68">
        <v>116.8</v>
      </c>
      <c r="O68">
        <v>124.5</v>
      </c>
      <c r="P68">
        <v>124.9</v>
      </c>
      <c r="Q68">
        <v>120.8</v>
      </c>
      <c r="R68">
        <v>123.3</v>
      </c>
      <c r="S68">
        <v>120.5</v>
      </c>
      <c r="T68">
        <v>122.9</v>
      </c>
      <c r="U68" t="s">
        <v>32</v>
      </c>
      <c r="V68">
        <v>117.3</v>
      </c>
      <c r="W68">
        <v>118.1</v>
      </c>
      <c r="X68">
        <v>115.9</v>
      </c>
      <c r="Y68">
        <v>112</v>
      </c>
      <c r="Z68">
        <v>113.3</v>
      </c>
      <c r="AA68">
        <v>117.2</v>
      </c>
      <c r="AB68">
        <v>108.8</v>
      </c>
      <c r="AC68">
        <v>114.1</v>
      </c>
      <c r="AD68">
        <v>121.1</v>
      </c>
    </row>
    <row r="69" spans="1:30" hidden="1" x14ac:dyDescent="0.3">
      <c r="A69" t="s">
        <v>33</v>
      </c>
      <c r="B69">
        <v>2014</v>
      </c>
      <c r="C69" t="s">
        <v>45</v>
      </c>
      <c r="D69">
        <v>124.5</v>
      </c>
      <c r="E69">
        <v>125.6</v>
      </c>
      <c r="F69">
        <v>122.7</v>
      </c>
      <c r="G69">
        <v>124.6</v>
      </c>
      <c r="H69">
        <v>103.2</v>
      </c>
      <c r="I69">
        <v>122.2</v>
      </c>
      <c r="J69">
        <v>153.19999999999999</v>
      </c>
      <c r="K69">
        <v>119.3</v>
      </c>
      <c r="L69">
        <v>99.8</v>
      </c>
      <c r="M69">
        <v>124.6</v>
      </c>
      <c r="N69">
        <v>115.8</v>
      </c>
      <c r="O69">
        <v>126.9</v>
      </c>
      <c r="P69">
        <v>125.4</v>
      </c>
      <c r="Q69">
        <v>125.8</v>
      </c>
      <c r="R69">
        <v>120.3</v>
      </c>
      <c r="S69">
        <v>115.4</v>
      </c>
      <c r="T69">
        <v>119.5</v>
      </c>
      <c r="U69">
        <v>117.1</v>
      </c>
      <c r="V69">
        <v>112.6</v>
      </c>
      <c r="W69">
        <v>116.4</v>
      </c>
      <c r="X69">
        <v>113</v>
      </c>
      <c r="Y69">
        <v>109.7</v>
      </c>
      <c r="Z69">
        <v>114</v>
      </c>
      <c r="AA69">
        <v>120.3</v>
      </c>
      <c r="AB69">
        <v>109.6</v>
      </c>
      <c r="AC69">
        <v>113.4</v>
      </c>
      <c r="AD69">
        <v>119</v>
      </c>
    </row>
    <row r="70" spans="1:30" hidden="1" x14ac:dyDescent="0.3">
      <c r="A70" t="s">
        <v>34</v>
      </c>
      <c r="B70">
        <v>2014</v>
      </c>
      <c r="C70" t="s">
        <v>45</v>
      </c>
      <c r="D70">
        <v>123.3</v>
      </c>
      <c r="E70">
        <v>123.7</v>
      </c>
      <c r="F70">
        <v>121</v>
      </c>
      <c r="G70">
        <v>124.2</v>
      </c>
      <c r="H70">
        <v>107.8</v>
      </c>
      <c r="I70">
        <v>125.7</v>
      </c>
      <c r="J70">
        <v>152.4</v>
      </c>
      <c r="K70">
        <v>117.2</v>
      </c>
      <c r="L70">
        <v>102.1</v>
      </c>
      <c r="M70">
        <v>118.7</v>
      </c>
      <c r="N70">
        <v>116.4</v>
      </c>
      <c r="O70">
        <v>125.6</v>
      </c>
      <c r="P70">
        <v>125.1</v>
      </c>
      <c r="Q70">
        <v>122.1</v>
      </c>
      <c r="R70">
        <v>122.1</v>
      </c>
      <c r="S70">
        <v>118.4</v>
      </c>
      <c r="T70">
        <v>121.6</v>
      </c>
      <c r="U70">
        <v>117.1</v>
      </c>
      <c r="V70">
        <v>115.5</v>
      </c>
      <c r="W70">
        <v>117.3</v>
      </c>
      <c r="X70">
        <v>114.8</v>
      </c>
      <c r="Y70">
        <v>110.8</v>
      </c>
      <c r="Z70">
        <v>113.7</v>
      </c>
      <c r="AA70">
        <v>119</v>
      </c>
      <c r="AB70">
        <v>109.1</v>
      </c>
      <c r="AC70">
        <v>113.8</v>
      </c>
      <c r="AD70">
        <v>120.1</v>
      </c>
    </row>
    <row r="71" spans="1:30" hidden="1" x14ac:dyDescent="0.3">
      <c r="A71" t="s">
        <v>30</v>
      </c>
      <c r="B71">
        <v>2014</v>
      </c>
      <c r="C71" t="s">
        <v>46</v>
      </c>
      <c r="D71">
        <v>122.4</v>
      </c>
      <c r="E71">
        <v>122.4</v>
      </c>
      <c r="F71">
        <v>121.8</v>
      </c>
      <c r="G71">
        <v>124.2</v>
      </c>
      <c r="H71">
        <v>110.2</v>
      </c>
      <c r="I71">
        <v>128.6</v>
      </c>
      <c r="J71">
        <v>140.30000000000001</v>
      </c>
      <c r="K71">
        <v>116.3</v>
      </c>
      <c r="L71">
        <v>102</v>
      </c>
      <c r="M71">
        <v>116</v>
      </c>
      <c r="N71">
        <v>117.3</v>
      </c>
      <c r="O71">
        <v>124.8</v>
      </c>
      <c r="P71">
        <v>123.3</v>
      </c>
      <c r="Q71">
        <v>121.7</v>
      </c>
      <c r="R71">
        <v>123.8</v>
      </c>
      <c r="S71">
        <v>120.6</v>
      </c>
      <c r="T71">
        <v>123.3</v>
      </c>
      <c r="U71" t="s">
        <v>32</v>
      </c>
      <c r="V71">
        <v>117.4</v>
      </c>
      <c r="W71">
        <v>118.2</v>
      </c>
      <c r="X71">
        <v>116.2</v>
      </c>
      <c r="Y71">
        <v>111.5</v>
      </c>
      <c r="Z71">
        <v>113.3</v>
      </c>
      <c r="AA71">
        <v>117.7</v>
      </c>
      <c r="AB71">
        <v>109.4</v>
      </c>
      <c r="AC71">
        <v>114.2</v>
      </c>
      <c r="AD71">
        <v>120.3</v>
      </c>
    </row>
    <row r="72" spans="1:30" hidden="1" x14ac:dyDescent="0.3">
      <c r="A72" t="s">
        <v>33</v>
      </c>
      <c r="B72">
        <v>2014</v>
      </c>
      <c r="C72" t="s">
        <v>46</v>
      </c>
      <c r="D72">
        <v>124</v>
      </c>
      <c r="E72">
        <v>124.7</v>
      </c>
      <c r="F72">
        <v>126.3</v>
      </c>
      <c r="G72">
        <v>124.9</v>
      </c>
      <c r="H72">
        <v>103</v>
      </c>
      <c r="I72">
        <v>122.3</v>
      </c>
      <c r="J72">
        <v>141</v>
      </c>
      <c r="K72">
        <v>120.1</v>
      </c>
      <c r="L72">
        <v>97.8</v>
      </c>
      <c r="M72">
        <v>125.4</v>
      </c>
      <c r="N72">
        <v>116.1</v>
      </c>
      <c r="O72">
        <v>127.6</v>
      </c>
      <c r="P72">
        <v>124</v>
      </c>
      <c r="Q72">
        <v>126.4</v>
      </c>
      <c r="R72">
        <v>120.7</v>
      </c>
      <c r="S72">
        <v>115.8</v>
      </c>
      <c r="T72">
        <v>120</v>
      </c>
      <c r="U72">
        <v>116.5</v>
      </c>
      <c r="V72">
        <v>113</v>
      </c>
      <c r="W72">
        <v>116.8</v>
      </c>
      <c r="X72">
        <v>113.2</v>
      </c>
      <c r="Y72">
        <v>108.8</v>
      </c>
      <c r="Z72">
        <v>114.3</v>
      </c>
      <c r="AA72">
        <v>120.7</v>
      </c>
      <c r="AB72">
        <v>110.4</v>
      </c>
      <c r="AC72">
        <v>113.4</v>
      </c>
      <c r="AD72">
        <v>118.4</v>
      </c>
    </row>
    <row r="73" spans="1:30" hidden="1" x14ac:dyDescent="0.3">
      <c r="A73" t="s">
        <v>34</v>
      </c>
      <c r="B73">
        <v>2014</v>
      </c>
      <c r="C73" t="s">
        <v>46</v>
      </c>
      <c r="D73">
        <v>122.9</v>
      </c>
      <c r="E73">
        <v>123.2</v>
      </c>
      <c r="F73">
        <v>123.5</v>
      </c>
      <c r="G73">
        <v>124.5</v>
      </c>
      <c r="H73">
        <v>107.6</v>
      </c>
      <c r="I73">
        <v>125.7</v>
      </c>
      <c r="J73">
        <v>140.5</v>
      </c>
      <c r="K73">
        <v>117.6</v>
      </c>
      <c r="L73">
        <v>100.6</v>
      </c>
      <c r="M73">
        <v>119.1</v>
      </c>
      <c r="N73">
        <v>116.8</v>
      </c>
      <c r="O73">
        <v>126.1</v>
      </c>
      <c r="P73">
        <v>123.6</v>
      </c>
      <c r="Q73">
        <v>123</v>
      </c>
      <c r="R73">
        <v>122.6</v>
      </c>
      <c r="S73">
        <v>118.6</v>
      </c>
      <c r="T73">
        <v>122</v>
      </c>
      <c r="U73">
        <v>116.5</v>
      </c>
      <c r="V73">
        <v>115.7</v>
      </c>
      <c r="W73">
        <v>117.5</v>
      </c>
      <c r="X73">
        <v>115.1</v>
      </c>
      <c r="Y73">
        <v>110.1</v>
      </c>
      <c r="Z73">
        <v>113.9</v>
      </c>
      <c r="AA73">
        <v>119.5</v>
      </c>
      <c r="AB73">
        <v>109.8</v>
      </c>
      <c r="AC73">
        <v>113.8</v>
      </c>
      <c r="AD73">
        <v>119.4</v>
      </c>
    </row>
    <row r="74" spans="1:30" hidden="1" x14ac:dyDescent="0.3">
      <c r="A74" t="s">
        <v>30</v>
      </c>
      <c r="B74">
        <v>2015</v>
      </c>
      <c r="C74" t="s">
        <v>31</v>
      </c>
      <c r="D74">
        <v>123.1</v>
      </c>
      <c r="E74">
        <v>123.1</v>
      </c>
      <c r="F74">
        <v>122.1</v>
      </c>
      <c r="G74">
        <v>124.9</v>
      </c>
      <c r="H74">
        <v>111</v>
      </c>
      <c r="I74">
        <v>130.4</v>
      </c>
      <c r="J74">
        <v>132.30000000000001</v>
      </c>
      <c r="K74">
        <v>117.2</v>
      </c>
      <c r="L74">
        <v>100.5</v>
      </c>
      <c r="M74">
        <v>117.2</v>
      </c>
      <c r="N74">
        <v>117.9</v>
      </c>
      <c r="O74">
        <v>125.6</v>
      </c>
      <c r="P74">
        <v>122.8</v>
      </c>
      <c r="Q74">
        <v>122.7</v>
      </c>
      <c r="R74">
        <v>124.4</v>
      </c>
      <c r="S74">
        <v>121.6</v>
      </c>
      <c r="T74">
        <v>124</v>
      </c>
      <c r="U74" t="s">
        <v>32</v>
      </c>
      <c r="V74">
        <v>118.4</v>
      </c>
      <c r="W74">
        <v>118.9</v>
      </c>
      <c r="X74">
        <v>116.6</v>
      </c>
      <c r="Y74">
        <v>111</v>
      </c>
      <c r="Z74">
        <v>114</v>
      </c>
      <c r="AA74">
        <v>118.2</v>
      </c>
      <c r="AB74">
        <v>110.2</v>
      </c>
      <c r="AC74">
        <v>114.5</v>
      </c>
      <c r="AD74">
        <v>120.3</v>
      </c>
    </row>
    <row r="75" spans="1:30" hidden="1" x14ac:dyDescent="0.3">
      <c r="A75" t="s">
        <v>33</v>
      </c>
      <c r="B75">
        <v>2015</v>
      </c>
      <c r="C75" t="s">
        <v>31</v>
      </c>
      <c r="D75">
        <v>124</v>
      </c>
      <c r="E75">
        <v>125.5</v>
      </c>
      <c r="F75">
        <v>126.6</v>
      </c>
      <c r="G75">
        <v>125.2</v>
      </c>
      <c r="H75">
        <v>104.3</v>
      </c>
      <c r="I75">
        <v>121.3</v>
      </c>
      <c r="J75">
        <v>134.4</v>
      </c>
      <c r="K75">
        <v>122.9</v>
      </c>
      <c r="L75">
        <v>96.1</v>
      </c>
      <c r="M75">
        <v>126.6</v>
      </c>
      <c r="N75">
        <v>116.5</v>
      </c>
      <c r="O75">
        <v>128</v>
      </c>
      <c r="P75">
        <v>123.5</v>
      </c>
      <c r="Q75">
        <v>127.4</v>
      </c>
      <c r="R75">
        <v>121</v>
      </c>
      <c r="S75">
        <v>116.1</v>
      </c>
      <c r="T75">
        <v>120.2</v>
      </c>
      <c r="U75">
        <v>117.3</v>
      </c>
      <c r="V75">
        <v>113.4</v>
      </c>
      <c r="W75">
        <v>117.2</v>
      </c>
      <c r="X75">
        <v>113.7</v>
      </c>
      <c r="Y75">
        <v>107.9</v>
      </c>
      <c r="Z75">
        <v>114.6</v>
      </c>
      <c r="AA75">
        <v>120.8</v>
      </c>
      <c r="AB75">
        <v>111.4</v>
      </c>
      <c r="AC75">
        <v>113.4</v>
      </c>
      <c r="AD75">
        <v>118.5</v>
      </c>
    </row>
    <row r="76" spans="1:30" hidden="1" x14ac:dyDescent="0.3">
      <c r="A76" t="s">
        <v>34</v>
      </c>
      <c r="B76">
        <v>2015</v>
      </c>
      <c r="C76" t="s">
        <v>31</v>
      </c>
      <c r="D76">
        <v>123.4</v>
      </c>
      <c r="E76">
        <v>123.9</v>
      </c>
      <c r="F76">
        <v>123.8</v>
      </c>
      <c r="G76">
        <v>125</v>
      </c>
      <c r="H76">
        <v>108.5</v>
      </c>
      <c r="I76">
        <v>126.2</v>
      </c>
      <c r="J76">
        <v>133</v>
      </c>
      <c r="K76">
        <v>119.1</v>
      </c>
      <c r="L76">
        <v>99</v>
      </c>
      <c r="M76">
        <v>120.3</v>
      </c>
      <c r="N76">
        <v>117.3</v>
      </c>
      <c r="O76">
        <v>126.7</v>
      </c>
      <c r="P76">
        <v>123.1</v>
      </c>
      <c r="Q76">
        <v>124</v>
      </c>
      <c r="R76">
        <v>123.1</v>
      </c>
      <c r="S76">
        <v>119.3</v>
      </c>
      <c r="T76">
        <v>122.5</v>
      </c>
      <c r="U76">
        <v>117.3</v>
      </c>
      <c r="V76">
        <v>116.5</v>
      </c>
      <c r="W76">
        <v>118.1</v>
      </c>
      <c r="X76">
        <v>115.5</v>
      </c>
      <c r="Y76">
        <v>109.4</v>
      </c>
      <c r="Z76">
        <v>114.3</v>
      </c>
      <c r="AA76">
        <v>119.7</v>
      </c>
      <c r="AB76">
        <v>110.7</v>
      </c>
      <c r="AC76">
        <v>114</v>
      </c>
      <c r="AD76">
        <v>119.5</v>
      </c>
    </row>
    <row r="77" spans="1:30" hidden="1" x14ac:dyDescent="0.3">
      <c r="A77" t="s">
        <v>30</v>
      </c>
      <c r="B77">
        <v>2015</v>
      </c>
      <c r="C77" t="s">
        <v>35</v>
      </c>
      <c r="D77">
        <v>123.4</v>
      </c>
      <c r="E77">
        <v>124.4</v>
      </c>
      <c r="F77">
        <v>122.1</v>
      </c>
      <c r="G77">
        <v>125.8</v>
      </c>
      <c r="H77">
        <v>111.5</v>
      </c>
      <c r="I77">
        <v>129.4</v>
      </c>
      <c r="J77">
        <v>128.19999999999999</v>
      </c>
      <c r="K77">
        <v>118.8</v>
      </c>
      <c r="L77">
        <v>100</v>
      </c>
      <c r="M77">
        <v>118.6</v>
      </c>
      <c r="N77">
        <v>118.8</v>
      </c>
      <c r="O77">
        <v>126.8</v>
      </c>
      <c r="P77">
        <v>122.8</v>
      </c>
      <c r="Q77">
        <v>124.2</v>
      </c>
      <c r="R77">
        <v>125.4</v>
      </c>
      <c r="S77">
        <v>122.7</v>
      </c>
      <c r="T77">
        <v>125</v>
      </c>
      <c r="U77" t="s">
        <v>32</v>
      </c>
      <c r="V77">
        <v>120</v>
      </c>
      <c r="W77">
        <v>119.6</v>
      </c>
      <c r="X77">
        <v>117.7</v>
      </c>
      <c r="Y77">
        <v>110.9</v>
      </c>
      <c r="Z77">
        <v>114.8</v>
      </c>
      <c r="AA77">
        <v>118.7</v>
      </c>
      <c r="AB77">
        <v>110.8</v>
      </c>
      <c r="AC77">
        <v>115</v>
      </c>
      <c r="AD77">
        <v>120.6</v>
      </c>
    </row>
    <row r="78" spans="1:30" hidden="1" x14ac:dyDescent="0.3">
      <c r="A78" t="s">
        <v>33</v>
      </c>
      <c r="B78">
        <v>2015</v>
      </c>
      <c r="C78" t="s">
        <v>35</v>
      </c>
      <c r="D78">
        <v>124.3</v>
      </c>
      <c r="E78">
        <v>126.5</v>
      </c>
      <c r="F78">
        <v>119.5</v>
      </c>
      <c r="G78">
        <v>125.6</v>
      </c>
      <c r="H78">
        <v>104.9</v>
      </c>
      <c r="I78">
        <v>121.6</v>
      </c>
      <c r="J78">
        <v>131.80000000000001</v>
      </c>
      <c r="K78">
        <v>125.1</v>
      </c>
      <c r="L78">
        <v>95</v>
      </c>
      <c r="M78">
        <v>127.7</v>
      </c>
      <c r="N78">
        <v>116.8</v>
      </c>
      <c r="O78">
        <v>128.6</v>
      </c>
      <c r="P78">
        <v>123.7</v>
      </c>
      <c r="Q78">
        <v>128.1</v>
      </c>
      <c r="R78">
        <v>121.3</v>
      </c>
      <c r="S78">
        <v>116.5</v>
      </c>
      <c r="T78">
        <v>120.6</v>
      </c>
      <c r="U78">
        <v>118.1</v>
      </c>
      <c r="V78">
        <v>114</v>
      </c>
      <c r="W78">
        <v>117.7</v>
      </c>
      <c r="X78">
        <v>114.1</v>
      </c>
      <c r="Y78">
        <v>106.8</v>
      </c>
      <c r="Z78">
        <v>114.9</v>
      </c>
      <c r="AA78">
        <v>120.4</v>
      </c>
      <c r="AB78">
        <v>111.7</v>
      </c>
      <c r="AC78">
        <v>113.2</v>
      </c>
      <c r="AD78">
        <v>118.7</v>
      </c>
    </row>
    <row r="79" spans="1:30" hidden="1" x14ac:dyDescent="0.3">
      <c r="A79" t="s">
        <v>34</v>
      </c>
      <c r="B79">
        <v>2015</v>
      </c>
      <c r="C79" t="s">
        <v>35</v>
      </c>
      <c r="D79">
        <v>123.7</v>
      </c>
      <c r="E79">
        <v>125.1</v>
      </c>
      <c r="F79">
        <v>121.1</v>
      </c>
      <c r="G79">
        <v>125.7</v>
      </c>
      <c r="H79">
        <v>109.1</v>
      </c>
      <c r="I79">
        <v>125.8</v>
      </c>
      <c r="J79">
        <v>129.4</v>
      </c>
      <c r="K79">
        <v>120.9</v>
      </c>
      <c r="L79">
        <v>98.3</v>
      </c>
      <c r="M79">
        <v>121.6</v>
      </c>
      <c r="N79">
        <v>118</v>
      </c>
      <c r="O79">
        <v>127.6</v>
      </c>
      <c r="P79">
        <v>123.1</v>
      </c>
      <c r="Q79">
        <v>125.2</v>
      </c>
      <c r="R79">
        <v>123.8</v>
      </c>
      <c r="S79">
        <v>120.1</v>
      </c>
      <c r="T79">
        <v>123.3</v>
      </c>
      <c r="U79">
        <v>118.1</v>
      </c>
      <c r="V79">
        <v>117.7</v>
      </c>
      <c r="W79">
        <v>118.7</v>
      </c>
      <c r="X79">
        <v>116.3</v>
      </c>
      <c r="Y79">
        <v>108.7</v>
      </c>
      <c r="Z79">
        <v>114.9</v>
      </c>
      <c r="AA79">
        <v>119.7</v>
      </c>
      <c r="AB79">
        <v>111.2</v>
      </c>
      <c r="AC79">
        <v>114.1</v>
      </c>
      <c r="AD79">
        <v>119.7</v>
      </c>
    </row>
    <row r="80" spans="1:30" hidden="1" x14ac:dyDescent="0.3">
      <c r="A80" t="s">
        <v>30</v>
      </c>
      <c r="B80">
        <v>2015</v>
      </c>
      <c r="C80" t="s">
        <v>36</v>
      </c>
      <c r="D80">
        <v>123.3</v>
      </c>
      <c r="E80">
        <v>124.7</v>
      </c>
      <c r="F80">
        <v>118.9</v>
      </c>
      <c r="G80">
        <v>126</v>
      </c>
      <c r="H80">
        <v>111.8</v>
      </c>
      <c r="I80">
        <v>130.9</v>
      </c>
      <c r="J80">
        <v>128</v>
      </c>
      <c r="K80">
        <v>119.9</v>
      </c>
      <c r="L80">
        <v>98.9</v>
      </c>
      <c r="M80">
        <v>119.4</v>
      </c>
      <c r="N80">
        <v>118.9</v>
      </c>
      <c r="O80">
        <v>127.7</v>
      </c>
      <c r="P80">
        <v>123.1</v>
      </c>
      <c r="Q80">
        <v>124.7</v>
      </c>
      <c r="R80">
        <v>126</v>
      </c>
      <c r="S80">
        <v>122.9</v>
      </c>
      <c r="T80">
        <v>125.5</v>
      </c>
      <c r="U80" t="s">
        <v>32</v>
      </c>
      <c r="V80">
        <v>120.6</v>
      </c>
      <c r="W80">
        <v>120.2</v>
      </c>
      <c r="X80">
        <v>118.2</v>
      </c>
      <c r="Y80">
        <v>111.6</v>
      </c>
      <c r="Z80">
        <v>115.5</v>
      </c>
      <c r="AA80">
        <v>119.4</v>
      </c>
      <c r="AB80">
        <v>110.8</v>
      </c>
      <c r="AC80">
        <v>115.5</v>
      </c>
      <c r="AD80">
        <v>121.1</v>
      </c>
    </row>
    <row r="81" spans="1:30" hidden="1" x14ac:dyDescent="0.3">
      <c r="A81" t="s">
        <v>33</v>
      </c>
      <c r="B81">
        <v>2015</v>
      </c>
      <c r="C81" t="s">
        <v>36</v>
      </c>
      <c r="D81">
        <v>124</v>
      </c>
      <c r="E81">
        <v>126.7</v>
      </c>
      <c r="F81">
        <v>113.5</v>
      </c>
      <c r="G81">
        <v>125.9</v>
      </c>
      <c r="H81">
        <v>104.8</v>
      </c>
      <c r="I81">
        <v>123.8</v>
      </c>
      <c r="J81">
        <v>131.4</v>
      </c>
      <c r="K81">
        <v>127.2</v>
      </c>
      <c r="L81">
        <v>93.2</v>
      </c>
      <c r="M81">
        <v>127.4</v>
      </c>
      <c r="N81">
        <v>117</v>
      </c>
      <c r="O81">
        <v>129.19999999999999</v>
      </c>
      <c r="P81">
        <v>123.9</v>
      </c>
      <c r="Q81">
        <v>128.80000000000001</v>
      </c>
      <c r="R81">
        <v>121.7</v>
      </c>
      <c r="S81">
        <v>116.9</v>
      </c>
      <c r="T81">
        <v>120.9</v>
      </c>
      <c r="U81">
        <v>118.6</v>
      </c>
      <c r="V81">
        <v>114.4</v>
      </c>
      <c r="W81">
        <v>118</v>
      </c>
      <c r="X81">
        <v>114.3</v>
      </c>
      <c r="Y81">
        <v>108.4</v>
      </c>
      <c r="Z81">
        <v>115.4</v>
      </c>
      <c r="AA81">
        <v>120.6</v>
      </c>
      <c r="AB81">
        <v>111.3</v>
      </c>
      <c r="AC81">
        <v>113.8</v>
      </c>
      <c r="AD81">
        <v>119.1</v>
      </c>
    </row>
    <row r="82" spans="1:30" hidden="1" x14ac:dyDescent="0.3">
      <c r="A82" t="s">
        <v>34</v>
      </c>
      <c r="B82">
        <v>2015</v>
      </c>
      <c r="C82" t="s">
        <v>36</v>
      </c>
      <c r="D82">
        <v>123.5</v>
      </c>
      <c r="E82">
        <v>125.4</v>
      </c>
      <c r="F82">
        <v>116.8</v>
      </c>
      <c r="G82">
        <v>126</v>
      </c>
      <c r="H82">
        <v>109.2</v>
      </c>
      <c r="I82">
        <v>127.6</v>
      </c>
      <c r="J82">
        <v>129.19999999999999</v>
      </c>
      <c r="K82">
        <v>122.4</v>
      </c>
      <c r="L82">
        <v>97</v>
      </c>
      <c r="M82">
        <v>122.1</v>
      </c>
      <c r="N82">
        <v>118.1</v>
      </c>
      <c r="O82">
        <v>128.4</v>
      </c>
      <c r="P82">
        <v>123.4</v>
      </c>
      <c r="Q82">
        <v>125.8</v>
      </c>
      <c r="R82">
        <v>124.3</v>
      </c>
      <c r="S82">
        <v>120.4</v>
      </c>
      <c r="T82">
        <v>123.7</v>
      </c>
      <c r="U82">
        <v>118.6</v>
      </c>
      <c r="V82">
        <v>118.3</v>
      </c>
      <c r="W82">
        <v>119.2</v>
      </c>
      <c r="X82">
        <v>116.7</v>
      </c>
      <c r="Y82">
        <v>109.9</v>
      </c>
      <c r="Z82">
        <v>115.4</v>
      </c>
      <c r="AA82">
        <v>120.1</v>
      </c>
      <c r="AB82">
        <v>111</v>
      </c>
      <c r="AC82">
        <v>114.7</v>
      </c>
      <c r="AD82">
        <v>120.2</v>
      </c>
    </row>
    <row r="83" spans="1:30" hidden="1" x14ac:dyDescent="0.3">
      <c r="A83" t="s">
        <v>30</v>
      </c>
      <c r="B83">
        <v>2015</v>
      </c>
      <c r="C83" t="s">
        <v>37</v>
      </c>
      <c r="D83">
        <v>123.3</v>
      </c>
      <c r="E83">
        <v>125.5</v>
      </c>
      <c r="F83">
        <v>117.2</v>
      </c>
      <c r="G83">
        <v>126.8</v>
      </c>
      <c r="H83">
        <v>111.9</v>
      </c>
      <c r="I83">
        <v>134.19999999999999</v>
      </c>
      <c r="J83">
        <v>127.5</v>
      </c>
      <c r="K83">
        <v>121.5</v>
      </c>
      <c r="L83">
        <v>97.8</v>
      </c>
      <c r="M83">
        <v>119.8</v>
      </c>
      <c r="N83">
        <v>119.4</v>
      </c>
      <c r="O83">
        <v>128.69999999999999</v>
      </c>
      <c r="P83">
        <v>123.6</v>
      </c>
      <c r="Q83">
        <v>125.7</v>
      </c>
      <c r="R83">
        <v>126.4</v>
      </c>
      <c r="S83">
        <v>123.3</v>
      </c>
      <c r="T83">
        <v>126</v>
      </c>
      <c r="U83" t="s">
        <v>32</v>
      </c>
      <c r="V83">
        <v>121.2</v>
      </c>
      <c r="W83">
        <v>120.9</v>
      </c>
      <c r="X83">
        <v>118.6</v>
      </c>
      <c r="Y83">
        <v>111.9</v>
      </c>
      <c r="Z83">
        <v>116.2</v>
      </c>
      <c r="AA83">
        <v>119.9</v>
      </c>
      <c r="AB83">
        <v>111.6</v>
      </c>
      <c r="AC83">
        <v>116</v>
      </c>
      <c r="AD83">
        <v>121.5</v>
      </c>
    </row>
    <row r="84" spans="1:30" hidden="1" x14ac:dyDescent="0.3">
      <c r="A84" t="s">
        <v>33</v>
      </c>
      <c r="B84">
        <v>2015</v>
      </c>
      <c r="C84" t="s">
        <v>37</v>
      </c>
      <c r="D84">
        <v>123.8</v>
      </c>
      <c r="E84">
        <v>128.19999999999999</v>
      </c>
      <c r="F84">
        <v>110</v>
      </c>
      <c r="G84">
        <v>126.3</v>
      </c>
      <c r="H84">
        <v>104.5</v>
      </c>
      <c r="I84">
        <v>130.6</v>
      </c>
      <c r="J84">
        <v>130.80000000000001</v>
      </c>
      <c r="K84">
        <v>131.30000000000001</v>
      </c>
      <c r="L84">
        <v>91.6</v>
      </c>
      <c r="M84">
        <v>127.7</v>
      </c>
      <c r="N84">
        <v>117.2</v>
      </c>
      <c r="O84">
        <v>129.5</v>
      </c>
      <c r="P84">
        <v>124.6</v>
      </c>
      <c r="Q84">
        <v>130.1</v>
      </c>
      <c r="R84">
        <v>122.1</v>
      </c>
      <c r="S84">
        <v>117.2</v>
      </c>
      <c r="T84">
        <v>121.3</v>
      </c>
      <c r="U84">
        <v>119.2</v>
      </c>
      <c r="V84">
        <v>114.7</v>
      </c>
      <c r="W84">
        <v>118.4</v>
      </c>
      <c r="X84">
        <v>114.6</v>
      </c>
      <c r="Y84">
        <v>108.4</v>
      </c>
      <c r="Z84">
        <v>115.6</v>
      </c>
      <c r="AA84">
        <v>121.7</v>
      </c>
      <c r="AB84">
        <v>111.8</v>
      </c>
      <c r="AC84">
        <v>114.2</v>
      </c>
      <c r="AD84">
        <v>119.7</v>
      </c>
    </row>
    <row r="85" spans="1:30" hidden="1" x14ac:dyDescent="0.3">
      <c r="A85" t="s">
        <v>34</v>
      </c>
      <c r="B85">
        <v>2015</v>
      </c>
      <c r="C85" t="s">
        <v>37</v>
      </c>
      <c r="D85">
        <v>123.5</v>
      </c>
      <c r="E85">
        <v>126.4</v>
      </c>
      <c r="F85">
        <v>114.4</v>
      </c>
      <c r="G85">
        <v>126.6</v>
      </c>
      <c r="H85">
        <v>109.2</v>
      </c>
      <c r="I85">
        <v>132.5</v>
      </c>
      <c r="J85">
        <v>128.6</v>
      </c>
      <c r="K85">
        <v>124.8</v>
      </c>
      <c r="L85">
        <v>95.7</v>
      </c>
      <c r="M85">
        <v>122.4</v>
      </c>
      <c r="N85">
        <v>118.5</v>
      </c>
      <c r="O85">
        <v>129.1</v>
      </c>
      <c r="P85">
        <v>124</v>
      </c>
      <c r="Q85">
        <v>126.9</v>
      </c>
      <c r="R85">
        <v>124.7</v>
      </c>
      <c r="S85">
        <v>120.8</v>
      </c>
      <c r="T85">
        <v>124.1</v>
      </c>
      <c r="U85">
        <v>119.2</v>
      </c>
      <c r="V85">
        <v>118.7</v>
      </c>
      <c r="W85">
        <v>119.7</v>
      </c>
      <c r="X85">
        <v>117.1</v>
      </c>
      <c r="Y85">
        <v>110.1</v>
      </c>
      <c r="Z85">
        <v>115.9</v>
      </c>
      <c r="AA85">
        <v>121</v>
      </c>
      <c r="AB85">
        <v>111.7</v>
      </c>
      <c r="AC85">
        <v>115.1</v>
      </c>
      <c r="AD85">
        <v>120.7</v>
      </c>
    </row>
    <row r="86" spans="1:30" hidden="1" x14ac:dyDescent="0.3">
      <c r="A86" t="s">
        <v>30</v>
      </c>
      <c r="B86">
        <v>2015</v>
      </c>
      <c r="C86" t="s">
        <v>38</v>
      </c>
      <c r="D86">
        <v>123.5</v>
      </c>
      <c r="E86">
        <v>127.1</v>
      </c>
      <c r="F86">
        <v>117.3</v>
      </c>
      <c r="G86">
        <v>127.7</v>
      </c>
      <c r="H86">
        <v>112.5</v>
      </c>
      <c r="I86">
        <v>134.1</v>
      </c>
      <c r="J86">
        <v>128.5</v>
      </c>
      <c r="K86">
        <v>124.3</v>
      </c>
      <c r="L86">
        <v>97.6</v>
      </c>
      <c r="M86">
        <v>120.7</v>
      </c>
      <c r="N86">
        <v>120.2</v>
      </c>
      <c r="O86">
        <v>129.80000000000001</v>
      </c>
      <c r="P86">
        <v>124.4</v>
      </c>
      <c r="Q86">
        <v>126.7</v>
      </c>
      <c r="R86">
        <v>127.3</v>
      </c>
      <c r="S86">
        <v>124.1</v>
      </c>
      <c r="T86">
        <v>126.8</v>
      </c>
      <c r="U86" t="s">
        <v>32</v>
      </c>
      <c r="V86">
        <v>121.9</v>
      </c>
      <c r="W86">
        <v>121.5</v>
      </c>
      <c r="X86">
        <v>119.4</v>
      </c>
      <c r="Y86">
        <v>113.3</v>
      </c>
      <c r="Z86">
        <v>116.7</v>
      </c>
      <c r="AA86">
        <v>120.5</v>
      </c>
      <c r="AB86">
        <v>112.3</v>
      </c>
      <c r="AC86">
        <v>116.9</v>
      </c>
      <c r="AD86">
        <v>122.4</v>
      </c>
    </row>
    <row r="87" spans="1:30" hidden="1" x14ac:dyDescent="0.3">
      <c r="A87" t="s">
        <v>33</v>
      </c>
      <c r="B87">
        <v>2015</v>
      </c>
      <c r="C87" t="s">
        <v>38</v>
      </c>
      <c r="D87">
        <v>123.8</v>
      </c>
      <c r="E87">
        <v>129.69999999999999</v>
      </c>
      <c r="F87">
        <v>111.3</v>
      </c>
      <c r="G87">
        <v>126.6</v>
      </c>
      <c r="H87">
        <v>105.2</v>
      </c>
      <c r="I87">
        <v>130.80000000000001</v>
      </c>
      <c r="J87">
        <v>135.6</v>
      </c>
      <c r="K87">
        <v>142.6</v>
      </c>
      <c r="L87">
        <v>90.8</v>
      </c>
      <c r="M87">
        <v>128.80000000000001</v>
      </c>
      <c r="N87">
        <v>117.7</v>
      </c>
      <c r="O87">
        <v>129.9</v>
      </c>
      <c r="P87">
        <v>126.1</v>
      </c>
      <c r="Q87">
        <v>131.30000000000001</v>
      </c>
      <c r="R87">
        <v>122.4</v>
      </c>
      <c r="S87">
        <v>117.4</v>
      </c>
      <c r="T87">
        <v>121.6</v>
      </c>
      <c r="U87">
        <v>119.6</v>
      </c>
      <c r="V87">
        <v>114.9</v>
      </c>
      <c r="W87">
        <v>118.7</v>
      </c>
      <c r="X87">
        <v>114.9</v>
      </c>
      <c r="Y87">
        <v>110.8</v>
      </c>
      <c r="Z87">
        <v>116</v>
      </c>
      <c r="AA87">
        <v>122</v>
      </c>
      <c r="AB87">
        <v>112.4</v>
      </c>
      <c r="AC87">
        <v>115.2</v>
      </c>
      <c r="AD87">
        <v>120.7</v>
      </c>
    </row>
    <row r="88" spans="1:30" hidden="1" x14ac:dyDescent="0.3">
      <c r="A88" t="s">
        <v>34</v>
      </c>
      <c r="B88">
        <v>2015</v>
      </c>
      <c r="C88" t="s">
        <v>38</v>
      </c>
      <c r="D88">
        <v>123.6</v>
      </c>
      <c r="E88">
        <v>128</v>
      </c>
      <c r="F88">
        <v>115</v>
      </c>
      <c r="G88">
        <v>127.3</v>
      </c>
      <c r="H88">
        <v>109.8</v>
      </c>
      <c r="I88">
        <v>132.6</v>
      </c>
      <c r="J88">
        <v>130.9</v>
      </c>
      <c r="K88">
        <v>130.5</v>
      </c>
      <c r="L88">
        <v>95.3</v>
      </c>
      <c r="M88">
        <v>123.4</v>
      </c>
      <c r="N88">
        <v>119.2</v>
      </c>
      <c r="O88">
        <v>129.80000000000001</v>
      </c>
      <c r="P88">
        <v>125</v>
      </c>
      <c r="Q88">
        <v>127.9</v>
      </c>
      <c r="R88">
        <v>125.4</v>
      </c>
      <c r="S88">
        <v>121.3</v>
      </c>
      <c r="T88">
        <v>124.7</v>
      </c>
      <c r="U88">
        <v>119.6</v>
      </c>
      <c r="V88">
        <v>119.2</v>
      </c>
      <c r="W88">
        <v>120.2</v>
      </c>
      <c r="X88">
        <v>117.7</v>
      </c>
      <c r="Y88">
        <v>112</v>
      </c>
      <c r="Z88">
        <v>116.3</v>
      </c>
      <c r="AA88">
        <v>121.4</v>
      </c>
      <c r="AB88">
        <v>112.3</v>
      </c>
      <c r="AC88">
        <v>116.1</v>
      </c>
      <c r="AD88">
        <v>121.6</v>
      </c>
    </row>
    <row r="89" spans="1:30" hidden="1" x14ac:dyDescent="0.3">
      <c r="A89" t="s">
        <v>30</v>
      </c>
      <c r="B89">
        <v>2015</v>
      </c>
      <c r="C89" t="s">
        <v>39</v>
      </c>
      <c r="D89">
        <v>124.1</v>
      </c>
      <c r="E89">
        <v>130.4</v>
      </c>
      <c r="F89">
        <v>122.1</v>
      </c>
      <c r="G89">
        <v>128.69999999999999</v>
      </c>
      <c r="H89">
        <v>114.1</v>
      </c>
      <c r="I89">
        <v>133.19999999999999</v>
      </c>
      <c r="J89">
        <v>135.19999999999999</v>
      </c>
      <c r="K89">
        <v>131.9</v>
      </c>
      <c r="L89">
        <v>96.3</v>
      </c>
      <c r="M89">
        <v>123</v>
      </c>
      <c r="N89">
        <v>121.1</v>
      </c>
      <c r="O89">
        <v>131.19999999999999</v>
      </c>
      <c r="P89">
        <v>126.6</v>
      </c>
      <c r="Q89">
        <v>128.19999999999999</v>
      </c>
      <c r="R89">
        <v>128.4</v>
      </c>
      <c r="S89">
        <v>125.1</v>
      </c>
      <c r="T89">
        <v>128</v>
      </c>
      <c r="U89" t="s">
        <v>32</v>
      </c>
      <c r="V89">
        <v>122.6</v>
      </c>
      <c r="W89">
        <v>122.8</v>
      </c>
      <c r="X89">
        <v>120.4</v>
      </c>
      <c r="Y89">
        <v>114.2</v>
      </c>
      <c r="Z89">
        <v>117.9</v>
      </c>
      <c r="AA89">
        <v>122</v>
      </c>
      <c r="AB89">
        <v>113</v>
      </c>
      <c r="AC89">
        <v>117.9</v>
      </c>
      <c r="AD89">
        <v>124.1</v>
      </c>
    </row>
    <row r="90" spans="1:30" hidden="1" x14ac:dyDescent="0.3">
      <c r="A90" t="s">
        <v>33</v>
      </c>
      <c r="B90">
        <v>2015</v>
      </c>
      <c r="C90" t="s">
        <v>39</v>
      </c>
      <c r="D90">
        <v>123.6</v>
      </c>
      <c r="E90">
        <v>134.4</v>
      </c>
      <c r="F90">
        <v>120.9</v>
      </c>
      <c r="G90">
        <v>127.3</v>
      </c>
      <c r="H90">
        <v>106</v>
      </c>
      <c r="I90">
        <v>132.30000000000001</v>
      </c>
      <c r="J90">
        <v>146.69999999999999</v>
      </c>
      <c r="K90">
        <v>148.1</v>
      </c>
      <c r="L90">
        <v>89.8</v>
      </c>
      <c r="M90">
        <v>130.5</v>
      </c>
      <c r="N90">
        <v>118</v>
      </c>
      <c r="O90">
        <v>130.5</v>
      </c>
      <c r="P90">
        <v>128.5</v>
      </c>
      <c r="Q90">
        <v>132.1</v>
      </c>
      <c r="R90">
        <v>123.2</v>
      </c>
      <c r="S90">
        <v>117.6</v>
      </c>
      <c r="T90">
        <v>122.3</v>
      </c>
      <c r="U90">
        <v>119</v>
      </c>
      <c r="V90">
        <v>115.1</v>
      </c>
      <c r="W90">
        <v>119.2</v>
      </c>
      <c r="X90">
        <v>115.4</v>
      </c>
      <c r="Y90">
        <v>111.7</v>
      </c>
      <c r="Z90">
        <v>116.2</v>
      </c>
      <c r="AA90">
        <v>123.8</v>
      </c>
      <c r="AB90">
        <v>112.5</v>
      </c>
      <c r="AC90">
        <v>116</v>
      </c>
      <c r="AD90">
        <v>121.7</v>
      </c>
    </row>
    <row r="91" spans="1:30" hidden="1" x14ac:dyDescent="0.3">
      <c r="A91" t="s">
        <v>34</v>
      </c>
      <c r="B91">
        <v>2015</v>
      </c>
      <c r="C91" t="s">
        <v>39</v>
      </c>
      <c r="D91">
        <v>123.9</v>
      </c>
      <c r="E91">
        <v>131.80000000000001</v>
      </c>
      <c r="F91">
        <v>121.6</v>
      </c>
      <c r="G91">
        <v>128.19999999999999</v>
      </c>
      <c r="H91">
        <v>111.1</v>
      </c>
      <c r="I91">
        <v>132.80000000000001</v>
      </c>
      <c r="J91">
        <v>139.1</v>
      </c>
      <c r="K91">
        <v>137.4</v>
      </c>
      <c r="L91">
        <v>94.1</v>
      </c>
      <c r="M91">
        <v>125.5</v>
      </c>
      <c r="N91">
        <v>119.8</v>
      </c>
      <c r="O91">
        <v>130.9</v>
      </c>
      <c r="P91">
        <v>127.3</v>
      </c>
      <c r="Q91">
        <v>129.19999999999999</v>
      </c>
      <c r="R91">
        <v>126.4</v>
      </c>
      <c r="S91">
        <v>122</v>
      </c>
      <c r="T91">
        <v>125.7</v>
      </c>
      <c r="U91">
        <v>119</v>
      </c>
      <c r="V91">
        <v>119.8</v>
      </c>
      <c r="W91">
        <v>121.1</v>
      </c>
      <c r="X91">
        <v>118.5</v>
      </c>
      <c r="Y91">
        <v>112.9</v>
      </c>
      <c r="Z91">
        <v>116.9</v>
      </c>
      <c r="AA91">
        <v>123.1</v>
      </c>
      <c r="AB91">
        <v>112.8</v>
      </c>
      <c r="AC91">
        <v>117</v>
      </c>
      <c r="AD91">
        <v>123</v>
      </c>
    </row>
    <row r="92" spans="1:30" hidden="1" x14ac:dyDescent="0.3">
      <c r="A92" t="s">
        <v>30</v>
      </c>
      <c r="B92">
        <v>2015</v>
      </c>
      <c r="C92" t="s">
        <v>40</v>
      </c>
      <c r="D92">
        <v>124</v>
      </c>
      <c r="E92">
        <v>131.5</v>
      </c>
      <c r="F92">
        <v>122</v>
      </c>
      <c r="G92">
        <v>128.69999999999999</v>
      </c>
      <c r="H92">
        <v>113.5</v>
      </c>
      <c r="I92">
        <v>133.30000000000001</v>
      </c>
      <c r="J92">
        <v>140.80000000000001</v>
      </c>
      <c r="K92">
        <v>133.80000000000001</v>
      </c>
      <c r="L92">
        <v>94.1</v>
      </c>
      <c r="M92">
        <v>123.4</v>
      </c>
      <c r="N92">
        <v>121</v>
      </c>
      <c r="O92">
        <v>131.69999999999999</v>
      </c>
      <c r="P92">
        <v>127.5</v>
      </c>
      <c r="Q92">
        <v>129.4</v>
      </c>
      <c r="R92">
        <v>128.80000000000001</v>
      </c>
      <c r="S92">
        <v>125.5</v>
      </c>
      <c r="T92">
        <v>128.30000000000001</v>
      </c>
      <c r="U92" t="s">
        <v>32</v>
      </c>
      <c r="V92">
        <v>123</v>
      </c>
      <c r="W92">
        <v>123</v>
      </c>
      <c r="X92">
        <v>120.8</v>
      </c>
      <c r="Y92">
        <v>114.1</v>
      </c>
      <c r="Z92">
        <v>118</v>
      </c>
      <c r="AA92">
        <v>122.9</v>
      </c>
      <c r="AB92">
        <v>112.7</v>
      </c>
      <c r="AC92">
        <v>118.1</v>
      </c>
      <c r="AD92">
        <v>124.7</v>
      </c>
    </row>
    <row r="93" spans="1:30" hidden="1" x14ac:dyDescent="0.3">
      <c r="A93" t="s">
        <v>33</v>
      </c>
      <c r="B93">
        <v>2015</v>
      </c>
      <c r="C93" t="s">
        <v>40</v>
      </c>
      <c r="D93">
        <v>123.2</v>
      </c>
      <c r="E93">
        <v>134.30000000000001</v>
      </c>
      <c r="F93">
        <v>119.5</v>
      </c>
      <c r="G93">
        <v>127.7</v>
      </c>
      <c r="H93">
        <v>106.3</v>
      </c>
      <c r="I93">
        <v>132.80000000000001</v>
      </c>
      <c r="J93">
        <v>153.5</v>
      </c>
      <c r="K93">
        <v>149.5</v>
      </c>
      <c r="L93">
        <v>85.7</v>
      </c>
      <c r="M93">
        <v>131.5</v>
      </c>
      <c r="N93">
        <v>118.3</v>
      </c>
      <c r="O93">
        <v>131.1</v>
      </c>
      <c r="P93">
        <v>129.5</v>
      </c>
      <c r="Q93">
        <v>133.1</v>
      </c>
      <c r="R93">
        <v>123.5</v>
      </c>
      <c r="S93">
        <v>117.9</v>
      </c>
      <c r="T93">
        <v>122.7</v>
      </c>
      <c r="U93">
        <v>119.9</v>
      </c>
      <c r="V93">
        <v>115.3</v>
      </c>
      <c r="W93">
        <v>119.5</v>
      </c>
      <c r="X93">
        <v>116</v>
      </c>
      <c r="Y93">
        <v>111.5</v>
      </c>
      <c r="Z93">
        <v>116.6</v>
      </c>
      <c r="AA93">
        <v>125.4</v>
      </c>
      <c r="AB93">
        <v>111.7</v>
      </c>
      <c r="AC93">
        <v>116.3</v>
      </c>
      <c r="AD93">
        <v>122.4</v>
      </c>
    </row>
    <row r="94" spans="1:30" hidden="1" x14ac:dyDescent="0.3">
      <c r="A94" t="s">
        <v>34</v>
      </c>
      <c r="B94">
        <v>2015</v>
      </c>
      <c r="C94" t="s">
        <v>40</v>
      </c>
      <c r="D94">
        <v>123.7</v>
      </c>
      <c r="E94">
        <v>132.5</v>
      </c>
      <c r="F94">
        <v>121</v>
      </c>
      <c r="G94">
        <v>128.30000000000001</v>
      </c>
      <c r="H94">
        <v>110.9</v>
      </c>
      <c r="I94">
        <v>133.1</v>
      </c>
      <c r="J94">
        <v>145.1</v>
      </c>
      <c r="K94">
        <v>139.1</v>
      </c>
      <c r="L94">
        <v>91.3</v>
      </c>
      <c r="M94">
        <v>126.1</v>
      </c>
      <c r="N94">
        <v>119.9</v>
      </c>
      <c r="O94">
        <v>131.4</v>
      </c>
      <c r="P94">
        <v>128.19999999999999</v>
      </c>
      <c r="Q94">
        <v>130.4</v>
      </c>
      <c r="R94">
        <v>126.7</v>
      </c>
      <c r="S94">
        <v>122.3</v>
      </c>
      <c r="T94">
        <v>126.1</v>
      </c>
      <c r="U94">
        <v>119.9</v>
      </c>
      <c r="V94">
        <v>120.1</v>
      </c>
      <c r="W94">
        <v>121.3</v>
      </c>
      <c r="X94">
        <v>119</v>
      </c>
      <c r="Y94">
        <v>112.7</v>
      </c>
      <c r="Z94">
        <v>117.2</v>
      </c>
      <c r="AA94">
        <v>124.4</v>
      </c>
      <c r="AB94">
        <v>112.3</v>
      </c>
      <c r="AC94">
        <v>117.2</v>
      </c>
      <c r="AD94">
        <v>123.6</v>
      </c>
    </row>
    <row r="95" spans="1:30" hidden="1" x14ac:dyDescent="0.3">
      <c r="A95" t="s">
        <v>30</v>
      </c>
      <c r="B95">
        <v>2015</v>
      </c>
      <c r="C95" t="s">
        <v>41</v>
      </c>
      <c r="D95">
        <v>124.7</v>
      </c>
      <c r="E95">
        <v>131.30000000000001</v>
      </c>
      <c r="F95">
        <v>121.3</v>
      </c>
      <c r="G95">
        <v>128.80000000000001</v>
      </c>
      <c r="H95">
        <v>114</v>
      </c>
      <c r="I95">
        <v>134.19999999999999</v>
      </c>
      <c r="J95">
        <v>153.6</v>
      </c>
      <c r="K95">
        <v>137.9</v>
      </c>
      <c r="L95">
        <v>93.1</v>
      </c>
      <c r="M95">
        <v>123.9</v>
      </c>
      <c r="N95">
        <v>121.5</v>
      </c>
      <c r="O95">
        <v>132.5</v>
      </c>
      <c r="P95">
        <v>129.80000000000001</v>
      </c>
      <c r="Q95">
        <v>130.1</v>
      </c>
      <c r="R95">
        <v>129.5</v>
      </c>
      <c r="S95">
        <v>126.3</v>
      </c>
      <c r="T95">
        <v>129</v>
      </c>
      <c r="U95" t="s">
        <v>32</v>
      </c>
      <c r="V95">
        <v>123.8</v>
      </c>
      <c r="W95">
        <v>123.7</v>
      </c>
      <c r="X95">
        <v>121.1</v>
      </c>
      <c r="Y95">
        <v>113.6</v>
      </c>
      <c r="Z95">
        <v>118.5</v>
      </c>
      <c r="AA95">
        <v>123.6</v>
      </c>
      <c r="AB95">
        <v>112.5</v>
      </c>
      <c r="AC95">
        <v>118.2</v>
      </c>
      <c r="AD95">
        <v>126.1</v>
      </c>
    </row>
    <row r="96" spans="1:30" hidden="1" x14ac:dyDescent="0.3">
      <c r="A96" t="s">
        <v>33</v>
      </c>
      <c r="B96">
        <v>2015</v>
      </c>
      <c r="C96" t="s">
        <v>41</v>
      </c>
      <c r="D96">
        <v>123.1</v>
      </c>
      <c r="E96">
        <v>131.69999999999999</v>
      </c>
      <c r="F96">
        <v>118.1</v>
      </c>
      <c r="G96">
        <v>128</v>
      </c>
      <c r="H96">
        <v>106.8</v>
      </c>
      <c r="I96">
        <v>130.1</v>
      </c>
      <c r="J96">
        <v>165.5</v>
      </c>
      <c r="K96">
        <v>156</v>
      </c>
      <c r="L96">
        <v>85.3</v>
      </c>
      <c r="M96">
        <v>132.69999999999999</v>
      </c>
      <c r="N96">
        <v>118.8</v>
      </c>
      <c r="O96">
        <v>131.69999999999999</v>
      </c>
      <c r="P96">
        <v>131.1</v>
      </c>
      <c r="Q96">
        <v>134.19999999999999</v>
      </c>
      <c r="R96">
        <v>123.7</v>
      </c>
      <c r="S96">
        <v>118.2</v>
      </c>
      <c r="T96">
        <v>122.9</v>
      </c>
      <c r="U96">
        <v>120.9</v>
      </c>
      <c r="V96">
        <v>115.3</v>
      </c>
      <c r="W96">
        <v>120</v>
      </c>
      <c r="X96">
        <v>116.6</v>
      </c>
      <c r="Y96">
        <v>109.9</v>
      </c>
      <c r="Z96">
        <v>117.2</v>
      </c>
      <c r="AA96">
        <v>126.2</v>
      </c>
      <c r="AB96">
        <v>112</v>
      </c>
      <c r="AC96">
        <v>116.2</v>
      </c>
      <c r="AD96">
        <v>123.2</v>
      </c>
    </row>
    <row r="97" spans="1:30" hidden="1" x14ac:dyDescent="0.3">
      <c r="A97" t="s">
        <v>34</v>
      </c>
      <c r="B97">
        <v>2015</v>
      </c>
      <c r="C97" t="s">
        <v>41</v>
      </c>
      <c r="D97">
        <v>124.2</v>
      </c>
      <c r="E97">
        <v>131.4</v>
      </c>
      <c r="F97">
        <v>120.1</v>
      </c>
      <c r="G97">
        <v>128.5</v>
      </c>
      <c r="H97">
        <v>111.4</v>
      </c>
      <c r="I97">
        <v>132.30000000000001</v>
      </c>
      <c r="J97">
        <v>157.6</v>
      </c>
      <c r="K97">
        <v>144</v>
      </c>
      <c r="L97">
        <v>90.5</v>
      </c>
      <c r="M97">
        <v>126.8</v>
      </c>
      <c r="N97">
        <v>120.4</v>
      </c>
      <c r="O97">
        <v>132.1</v>
      </c>
      <c r="P97">
        <v>130.30000000000001</v>
      </c>
      <c r="Q97">
        <v>131.19999999999999</v>
      </c>
      <c r="R97">
        <v>127.2</v>
      </c>
      <c r="S97">
        <v>122.9</v>
      </c>
      <c r="T97">
        <v>126.6</v>
      </c>
      <c r="U97">
        <v>120.9</v>
      </c>
      <c r="V97">
        <v>120.6</v>
      </c>
      <c r="W97">
        <v>122</v>
      </c>
      <c r="X97">
        <v>119.4</v>
      </c>
      <c r="Y97">
        <v>111.7</v>
      </c>
      <c r="Z97">
        <v>117.8</v>
      </c>
      <c r="AA97">
        <v>125.1</v>
      </c>
      <c r="AB97">
        <v>112.3</v>
      </c>
      <c r="AC97">
        <v>117.2</v>
      </c>
      <c r="AD97">
        <v>124.8</v>
      </c>
    </row>
    <row r="98" spans="1:30" hidden="1" x14ac:dyDescent="0.3">
      <c r="A98" t="s">
        <v>30</v>
      </c>
      <c r="B98">
        <v>2015</v>
      </c>
      <c r="C98" t="s">
        <v>42</v>
      </c>
      <c r="D98">
        <v>125.1</v>
      </c>
      <c r="E98">
        <v>131.1</v>
      </c>
      <c r="F98">
        <v>120.7</v>
      </c>
      <c r="G98">
        <v>129.19999999999999</v>
      </c>
      <c r="H98">
        <v>114.7</v>
      </c>
      <c r="I98">
        <v>132.30000000000001</v>
      </c>
      <c r="J98">
        <v>158.9</v>
      </c>
      <c r="K98">
        <v>142.1</v>
      </c>
      <c r="L98">
        <v>92.5</v>
      </c>
      <c r="M98">
        <v>125.4</v>
      </c>
      <c r="N98">
        <v>121.9</v>
      </c>
      <c r="O98">
        <v>132.69999999999999</v>
      </c>
      <c r="P98">
        <v>131</v>
      </c>
      <c r="Q98">
        <v>131</v>
      </c>
      <c r="R98">
        <v>130.4</v>
      </c>
      <c r="S98">
        <v>126.8</v>
      </c>
      <c r="T98">
        <v>129.9</v>
      </c>
      <c r="U98" t="s">
        <v>32</v>
      </c>
      <c r="V98">
        <v>123.7</v>
      </c>
      <c r="W98">
        <v>124.5</v>
      </c>
      <c r="X98">
        <v>121.4</v>
      </c>
      <c r="Y98">
        <v>113.8</v>
      </c>
      <c r="Z98">
        <v>119.6</v>
      </c>
      <c r="AA98">
        <v>124.5</v>
      </c>
      <c r="AB98">
        <v>113.7</v>
      </c>
      <c r="AC98">
        <v>118.8</v>
      </c>
      <c r="AD98">
        <v>127</v>
      </c>
    </row>
    <row r="99" spans="1:30" hidden="1" x14ac:dyDescent="0.3">
      <c r="A99" t="s">
        <v>33</v>
      </c>
      <c r="B99">
        <v>2015</v>
      </c>
      <c r="C99" t="s">
        <v>42</v>
      </c>
      <c r="D99">
        <v>123.4</v>
      </c>
      <c r="E99">
        <v>129</v>
      </c>
      <c r="F99">
        <v>115.6</v>
      </c>
      <c r="G99">
        <v>128.30000000000001</v>
      </c>
      <c r="H99">
        <v>107</v>
      </c>
      <c r="I99">
        <v>124</v>
      </c>
      <c r="J99">
        <v>168.5</v>
      </c>
      <c r="K99">
        <v>165.4</v>
      </c>
      <c r="L99">
        <v>86.3</v>
      </c>
      <c r="M99">
        <v>134.4</v>
      </c>
      <c r="N99">
        <v>119.1</v>
      </c>
      <c r="O99">
        <v>132.30000000000001</v>
      </c>
      <c r="P99">
        <v>131.5</v>
      </c>
      <c r="Q99">
        <v>134.69999999999999</v>
      </c>
      <c r="R99">
        <v>124</v>
      </c>
      <c r="S99">
        <v>118.6</v>
      </c>
      <c r="T99">
        <v>123.2</v>
      </c>
      <c r="U99">
        <v>121.6</v>
      </c>
      <c r="V99">
        <v>115.1</v>
      </c>
      <c r="W99">
        <v>120.4</v>
      </c>
      <c r="X99">
        <v>117.1</v>
      </c>
      <c r="Y99">
        <v>109.1</v>
      </c>
      <c r="Z99">
        <v>117.3</v>
      </c>
      <c r="AA99">
        <v>126.5</v>
      </c>
      <c r="AB99">
        <v>112.9</v>
      </c>
      <c r="AC99">
        <v>116.2</v>
      </c>
      <c r="AD99">
        <v>123.5</v>
      </c>
    </row>
    <row r="100" spans="1:30" hidden="1" x14ac:dyDescent="0.3">
      <c r="A100" t="s">
        <v>34</v>
      </c>
      <c r="B100">
        <v>2015</v>
      </c>
      <c r="C100" t="s">
        <v>42</v>
      </c>
      <c r="D100">
        <v>124.6</v>
      </c>
      <c r="E100">
        <v>130.4</v>
      </c>
      <c r="F100">
        <v>118.7</v>
      </c>
      <c r="G100">
        <v>128.9</v>
      </c>
      <c r="H100">
        <v>111.9</v>
      </c>
      <c r="I100">
        <v>128.4</v>
      </c>
      <c r="J100">
        <v>162.19999999999999</v>
      </c>
      <c r="K100">
        <v>150</v>
      </c>
      <c r="L100">
        <v>90.4</v>
      </c>
      <c r="M100">
        <v>128.4</v>
      </c>
      <c r="N100">
        <v>120.7</v>
      </c>
      <c r="O100">
        <v>132.5</v>
      </c>
      <c r="P100">
        <v>131.19999999999999</v>
      </c>
      <c r="Q100">
        <v>132</v>
      </c>
      <c r="R100">
        <v>127.9</v>
      </c>
      <c r="S100">
        <v>123.4</v>
      </c>
      <c r="T100">
        <v>127.2</v>
      </c>
      <c r="U100">
        <v>121.6</v>
      </c>
      <c r="V100">
        <v>120.4</v>
      </c>
      <c r="W100">
        <v>122.6</v>
      </c>
      <c r="X100">
        <v>119.8</v>
      </c>
      <c r="Y100">
        <v>111.3</v>
      </c>
      <c r="Z100">
        <v>118.3</v>
      </c>
      <c r="AA100">
        <v>125.7</v>
      </c>
      <c r="AB100">
        <v>113.4</v>
      </c>
      <c r="AC100">
        <v>117.5</v>
      </c>
      <c r="AD100">
        <v>125.4</v>
      </c>
    </row>
    <row r="101" spans="1:30" hidden="1" x14ac:dyDescent="0.3">
      <c r="A101" t="s">
        <v>30</v>
      </c>
      <c r="B101">
        <v>2015</v>
      </c>
      <c r="C101" t="s">
        <v>43</v>
      </c>
      <c r="D101">
        <v>125.6</v>
      </c>
      <c r="E101">
        <v>130.4</v>
      </c>
      <c r="F101">
        <v>120.8</v>
      </c>
      <c r="G101">
        <v>129.4</v>
      </c>
      <c r="H101">
        <v>115.8</v>
      </c>
      <c r="I101">
        <v>133.19999999999999</v>
      </c>
      <c r="J101">
        <v>157.69999999999999</v>
      </c>
      <c r="K101">
        <v>154.19999999999999</v>
      </c>
      <c r="L101">
        <v>93.7</v>
      </c>
      <c r="M101">
        <v>126.6</v>
      </c>
      <c r="N101">
        <v>122.3</v>
      </c>
      <c r="O101">
        <v>133.1</v>
      </c>
      <c r="P101">
        <v>131.80000000000001</v>
      </c>
      <c r="Q101">
        <v>131.5</v>
      </c>
      <c r="R101">
        <v>131.1</v>
      </c>
      <c r="S101">
        <v>127.3</v>
      </c>
      <c r="T101">
        <v>130.6</v>
      </c>
      <c r="U101" t="s">
        <v>32</v>
      </c>
      <c r="V101">
        <v>124.4</v>
      </c>
      <c r="W101">
        <v>125.1</v>
      </c>
      <c r="X101">
        <v>122</v>
      </c>
      <c r="Y101">
        <v>113.8</v>
      </c>
      <c r="Z101">
        <v>120.1</v>
      </c>
      <c r="AA101">
        <v>125.1</v>
      </c>
      <c r="AB101">
        <v>114.2</v>
      </c>
      <c r="AC101">
        <v>119.2</v>
      </c>
      <c r="AD101">
        <v>127.7</v>
      </c>
    </row>
    <row r="102" spans="1:30" hidden="1" x14ac:dyDescent="0.3">
      <c r="A102" t="s">
        <v>33</v>
      </c>
      <c r="B102">
        <v>2015</v>
      </c>
      <c r="C102" t="s">
        <v>43</v>
      </c>
      <c r="D102">
        <v>123.6</v>
      </c>
      <c r="E102">
        <v>128.6</v>
      </c>
      <c r="F102">
        <v>115.9</v>
      </c>
      <c r="G102">
        <v>128.5</v>
      </c>
      <c r="H102">
        <v>109</v>
      </c>
      <c r="I102">
        <v>124.1</v>
      </c>
      <c r="J102">
        <v>165.8</v>
      </c>
      <c r="K102">
        <v>187.2</v>
      </c>
      <c r="L102">
        <v>89.4</v>
      </c>
      <c r="M102">
        <v>135.80000000000001</v>
      </c>
      <c r="N102">
        <v>119.4</v>
      </c>
      <c r="O102">
        <v>132.9</v>
      </c>
      <c r="P102">
        <v>132.6</v>
      </c>
      <c r="Q102">
        <v>135.30000000000001</v>
      </c>
      <c r="R102">
        <v>124.4</v>
      </c>
      <c r="S102">
        <v>118.8</v>
      </c>
      <c r="T102">
        <v>123.6</v>
      </c>
      <c r="U102">
        <v>122.4</v>
      </c>
      <c r="V102">
        <v>114.9</v>
      </c>
      <c r="W102">
        <v>120.7</v>
      </c>
      <c r="X102">
        <v>117.7</v>
      </c>
      <c r="Y102">
        <v>109.3</v>
      </c>
      <c r="Z102">
        <v>117.7</v>
      </c>
      <c r="AA102">
        <v>126.5</v>
      </c>
      <c r="AB102">
        <v>113.5</v>
      </c>
      <c r="AC102">
        <v>116.5</v>
      </c>
      <c r="AD102">
        <v>124.2</v>
      </c>
    </row>
    <row r="103" spans="1:30" hidden="1" x14ac:dyDescent="0.3">
      <c r="A103" t="s">
        <v>34</v>
      </c>
      <c r="B103">
        <v>2015</v>
      </c>
      <c r="C103" t="s">
        <v>43</v>
      </c>
      <c r="D103">
        <v>125</v>
      </c>
      <c r="E103">
        <v>129.80000000000001</v>
      </c>
      <c r="F103">
        <v>118.9</v>
      </c>
      <c r="G103">
        <v>129.1</v>
      </c>
      <c r="H103">
        <v>113.3</v>
      </c>
      <c r="I103">
        <v>129</v>
      </c>
      <c r="J103">
        <v>160.4</v>
      </c>
      <c r="K103">
        <v>165.3</v>
      </c>
      <c r="L103">
        <v>92.3</v>
      </c>
      <c r="M103">
        <v>129.69999999999999</v>
      </c>
      <c r="N103">
        <v>121.1</v>
      </c>
      <c r="O103">
        <v>133</v>
      </c>
      <c r="P103">
        <v>132.1</v>
      </c>
      <c r="Q103">
        <v>132.5</v>
      </c>
      <c r="R103">
        <v>128.5</v>
      </c>
      <c r="S103">
        <v>123.8</v>
      </c>
      <c r="T103">
        <v>127.8</v>
      </c>
      <c r="U103">
        <v>122.4</v>
      </c>
      <c r="V103">
        <v>120.8</v>
      </c>
      <c r="W103">
        <v>123</v>
      </c>
      <c r="X103">
        <v>120.4</v>
      </c>
      <c r="Y103">
        <v>111.4</v>
      </c>
      <c r="Z103">
        <v>118.7</v>
      </c>
      <c r="AA103">
        <v>125.9</v>
      </c>
      <c r="AB103">
        <v>113.9</v>
      </c>
      <c r="AC103">
        <v>117.9</v>
      </c>
      <c r="AD103">
        <v>126.1</v>
      </c>
    </row>
    <row r="104" spans="1:30" hidden="1" x14ac:dyDescent="0.3">
      <c r="A104" t="s">
        <v>30</v>
      </c>
      <c r="B104">
        <v>2015</v>
      </c>
      <c r="C104" t="s">
        <v>45</v>
      </c>
      <c r="D104">
        <v>126.1</v>
      </c>
      <c r="E104">
        <v>130.6</v>
      </c>
      <c r="F104">
        <v>121.7</v>
      </c>
      <c r="G104">
        <v>129.5</v>
      </c>
      <c r="H104">
        <v>117.8</v>
      </c>
      <c r="I104">
        <v>132.1</v>
      </c>
      <c r="J104">
        <v>155.19999999999999</v>
      </c>
      <c r="K104">
        <v>160.80000000000001</v>
      </c>
      <c r="L104">
        <v>94.5</v>
      </c>
      <c r="M104">
        <v>128.30000000000001</v>
      </c>
      <c r="N104">
        <v>123.1</v>
      </c>
      <c r="O104">
        <v>134.19999999999999</v>
      </c>
      <c r="P104">
        <v>132.4</v>
      </c>
      <c r="Q104">
        <v>132.19999999999999</v>
      </c>
      <c r="R104">
        <v>132.1</v>
      </c>
      <c r="S104">
        <v>128.19999999999999</v>
      </c>
      <c r="T104">
        <v>131.5</v>
      </c>
      <c r="U104" t="s">
        <v>32</v>
      </c>
      <c r="V104">
        <v>125.6</v>
      </c>
      <c r="W104">
        <v>125.6</v>
      </c>
      <c r="X104">
        <v>122.6</v>
      </c>
      <c r="Y104">
        <v>114</v>
      </c>
      <c r="Z104">
        <v>120.9</v>
      </c>
      <c r="AA104">
        <v>125.8</v>
      </c>
      <c r="AB104">
        <v>114.2</v>
      </c>
      <c r="AC104">
        <v>119.6</v>
      </c>
      <c r="AD104">
        <v>128.30000000000001</v>
      </c>
    </row>
    <row r="105" spans="1:30" hidden="1" x14ac:dyDescent="0.3">
      <c r="A105" t="s">
        <v>33</v>
      </c>
      <c r="B105">
        <v>2015</v>
      </c>
      <c r="C105" t="s">
        <v>45</v>
      </c>
      <c r="D105">
        <v>124</v>
      </c>
      <c r="E105">
        <v>129.80000000000001</v>
      </c>
      <c r="F105">
        <v>121.5</v>
      </c>
      <c r="G105">
        <v>128.6</v>
      </c>
      <c r="H105">
        <v>110</v>
      </c>
      <c r="I105">
        <v>123.7</v>
      </c>
      <c r="J105">
        <v>164.6</v>
      </c>
      <c r="K105">
        <v>191.6</v>
      </c>
      <c r="L105">
        <v>90.8</v>
      </c>
      <c r="M105">
        <v>137.1</v>
      </c>
      <c r="N105">
        <v>119.8</v>
      </c>
      <c r="O105">
        <v>133.69999999999999</v>
      </c>
      <c r="P105">
        <v>133.30000000000001</v>
      </c>
      <c r="Q105">
        <v>137.6</v>
      </c>
      <c r="R105">
        <v>125</v>
      </c>
      <c r="S105">
        <v>119.3</v>
      </c>
      <c r="T105">
        <v>124.2</v>
      </c>
      <c r="U105">
        <v>122.9</v>
      </c>
      <c r="V105">
        <v>115.1</v>
      </c>
      <c r="W105">
        <v>121</v>
      </c>
      <c r="X105">
        <v>118.1</v>
      </c>
      <c r="Y105">
        <v>109.3</v>
      </c>
      <c r="Z105">
        <v>117.9</v>
      </c>
      <c r="AA105">
        <v>126.6</v>
      </c>
      <c r="AB105">
        <v>113.3</v>
      </c>
      <c r="AC105">
        <v>116.6</v>
      </c>
      <c r="AD105">
        <v>124.6</v>
      </c>
    </row>
    <row r="106" spans="1:30" hidden="1" x14ac:dyDescent="0.3">
      <c r="A106" t="s">
        <v>34</v>
      </c>
      <c r="B106">
        <v>2015</v>
      </c>
      <c r="C106" t="s">
        <v>45</v>
      </c>
      <c r="D106">
        <v>125.4</v>
      </c>
      <c r="E106">
        <v>130.30000000000001</v>
      </c>
      <c r="F106">
        <v>121.6</v>
      </c>
      <c r="G106">
        <v>129.19999999999999</v>
      </c>
      <c r="H106">
        <v>114.9</v>
      </c>
      <c r="I106">
        <v>128.19999999999999</v>
      </c>
      <c r="J106">
        <v>158.4</v>
      </c>
      <c r="K106">
        <v>171.2</v>
      </c>
      <c r="L106">
        <v>93.3</v>
      </c>
      <c r="M106">
        <v>131.19999999999999</v>
      </c>
      <c r="N106">
        <v>121.7</v>
      </c>
      <c r="O106">
        <v>134</v>
      </c>
      <c r="P106">
        <v>132.69999999999999</v>
      </c>
      <c r="Q106">
        <v>133.6</v>
      </c>
      <c r="R106">
        <v>129.30000000000001</v>
      </c>
      <c r="S106">
        <v>124.5</v>
      </c>
      <c r="T106">
        <v>128.6</v>
      </c>
      <c r="U106">
        <v>122.9</v>
      </c>
      <c r="V106">
        <v>121.6</v>
      </c>
      <c r="W106">
        <v>123.4</v>
      </c>
      <c r="X106">
        <v>120.9</v>
      </c>
      <c r="Y106">
        <v>111.5</v>
      </c>
      <c r="Z106">
        <v>119.2</v>
      </c>
      <c r="AA106">
        <v>126.3</v>
      </c>
      <c r="AB106">
        <v>113.8</v>
      </c>
      <c r="AC106">
        <v>118.1</v>
      </c>
      <c r="AD106">
        <v>126.6</v>
      </c>
    </row>
    <row r="107" spans="1:30" hidden="1" x14ac:dyDescent="0.3">
      <c r="A107" t="s">
        <v>30</v>
      </c>
      <c r="B107">
        <v>2015</v>
      </c>
      <c r="C107" t="s">
        <v>46</v>
      </c>
      <c r="D107">
        <v>126.3</v>
      </c>
      <c r="E107">
        <v>131.30000000000001</v>
      </c>
      <c r="F107">
        <v>123.3</v>
      </c>
      <c r="G107">
        <v>129.80000000000001</v>
      </c>
      <c r="H107">
        <v>118.3</v>
      </c>
      <c r="I107">
        <v>131.6</v>
      </c>
      <c r="J107">
        <v>145.5</v>
      </c>
      <c r="K107">
        <v>162.1</v>
      </c>
      <c r="L107">
        <v>95.4</v>
      </c>
      <c r="M107">
        <v>128.9</v>
      </c>
      <c r="N107">
        <v>123.3</v>
      </c>
      <c r="O107">
        <v>135.1</v>
      </c>
      <c r="P107">
        <v>131.4</v>
      </c>
      <c r="Q107">
        <v>133.1</v>
      </c>
      <c r="R107">
        <v>132.5</v>
      </c>
      <c r="S107">
        <v>128.5</v>
      </c>
      <c r="T107">
        <v>131.9</v>
      </c>
      <c r="U107" t="s">
        <v>32</v>
      </c>
      <c r="V107">
        <v>125.7</v>
      </c>
      <c r="W107">
        <v>126</v>
      </c>
      <c r="X107">
        <v>123.1</v>
      </c>
      <c r="Y107">
        <v>114</v>
      </c>
      <c r="Z107">
        <v>121.6</v>
      </c>
      <c r="AA107">
        <v>125.6</v>
      </c>
      <c r="AB107">
        <v>114.1</v>
      </c>
      <c r="AC107">
        <v>119.8</v>
      </c>
      <c r="AD107">
        <v>127.9</v>
      </c>
    </row>
    <row r="108" spans="1:30" hidden="1" x14ac:dyDescent="0.3">
      <c r="A108" t="s">
        <v>33</v>
      </c>
      <c r="B108">
        <v>2015</v>
      </c>
      <c r="C108" t="s">
        <v>46</v>
      </c>
      <c r="D108">
        <v>124.3</v>
      </c>
      <c r="E108">
        <v>131.69999999999999</v>
      </c>
      <c r="F108">
        <v>127.1</v>
      </c>
      <c r="G108">
        <v>128.6</v>
      </c>
      <c r="H108">
        <v>110</v>
      </c>
      <c r="I108">
        <v>120.8</v>
      </c>
      <c r="J108">
        <v>149</v>
      </c>
      <c r="K108">
        <v>190.1</v>
      </c>
      <c r="L108">
        <v>92.7</v>
      </c>
      <c r="M108">
        <v>138.6</v>
      </c>
      <c r="N108">
        <v>120.2</v>
      </c>
      <c r="O108">
        <v>134.19999999999999</v>
      </c>
      <c r="P108">
        <v>131.5</v>
      </c>
      <c r="Q108">
        <v>138.19999999999999</v>
      </c>
      <c r="R108">
        <v>125.4</v>
      </c>
      <c r="S108">
        <v>119.5</v>
      </c>
      <c r="T108">
        <v>124.5</v>
      </c>
      <c r="U108">
        <v>122.4</v>
      </c>
      <c r="V108">
        <v>116</v>
      </c>
      <c r="W108">
        <v>121</v>
      </c>
      <c r="X108">
        <v>118.6</v>
      </c>
      <c r="Y108">
        <v>109.3</v>
      </c>
      <c r="Z108">
        <v>118.1</v>
      </c>
      <c r="AA108">
        <v>126.6</v>
      </c>
      <c r="AB108">
        <v>113.2</v>
      </c>
      <c r="AC108">
        <v>116.7</v>
      </c>
      <c r="AD108">
        <v>124</v>
      </c>
    </row>
    <row r="109" spans="1:30" hidden="1" x14ac:dyDescent="0.3">
      <c r="A109" t="s">
        <v>34</v>
      </c>
      <c r="B109">
        <v>2015</v>
      </c>
      <c r="C109" t="s">
        <v>46</v>
      </c>
      <c r="D109">
        <v>125.7</v>
      </c>
      <c r="E109">
        <v>131.4</v>
      </c>
      <c r="F109">
        <v>124.8</v>
      </c>
      <c r="G109">
        <v>129.4</v>
      </c>
      <c r="H109">
        <v>115.3</v>
      </c>
      <c r="I109">
        <v>126.6</v>
      </c>
      <c r="J109">
        <v>146.69999999999999</v>
      </c>
      <c r="K109">
        <v>171.5</v>
      </c>
      <c r="L109">
        <v>94.5</v>
      </c>
      <c r="M109">
        <v>132.1</v>
      </c>
      <c r="N109">
        <v>122</v>
      </c>
      <c r="O109">
        <v>134.69999999999999</v>
      </c>
      <c r="P109">
        <v>131.4</v>
      </c>
      <c r="Q109">
        <v>134.5</v>
      </c>
      <c r="R109">
        <v>129.69999999999999</v>
      </c>
      <c r="S109">
        <v>124.8</v>
      </c>
      <c r="T109">
        <v>129</v>
      </c>
      <c r="U109">
        <v>122.4</v>
      </c>
      <c r="V109">
        <v>122</v>
      </c>
      <c r="W109">
        <v>123.6</v>
      </c>
      <c r="X109">
        <v>121.4</v>
      </c>
      <c r="Y109">
        <v>111.5</v>
      </c>
      <c r="Z109">
        <v>119.6</v>
      </c>
      <c r="AA109">
        <v>126.2</v>
      </c>
      <c r="AB109">
        <v>113.7</v>
      </c>
      <c r="AC109">
        <v>118.3</v>
      </c>
      <c r="AD109">
        <v>126.1</v>
      </c>
    </row>
    <row r="110" spans="1:30" hidden="1" x14ac:dyDescent="0.3">
      <c r="A110" t="s">
        <v>30</v>
      </c>
      <c r="B110">
        <v>2016</v>
      </c>
      <c r="C110" t="s">
        <v>31</v>
      </c>
      <c r="D110">
        <v>126.8</v>
      </c>
      <c r="E110">
        <v>133.19999999999999</v>
      </c>
      <c r="F110">
        <v>126.5</v>
      </c>
      <c r="G110">
        <v>130.30000000000001</v>
      </c>
      <c r="H110">
        <v>118.9</v>
      </c>
      <c r="I110">
        <v>131.6</v>
      </c>
      <c r="J110">
        <v>140.1</v>
      </c>
      <c r="K110">
        <v>163.80000000000001</v>
      </c>
      <c r="L110">
        <v>97.7</v>
      </c>
      <c r="M110">
        <v>129.6</v>
      </c>
      <c r="N110">
        <v>124.3</v>
      </c>
      <c r="O110">
        <v>135.9</v>
      </c>
      <c r="P110">
        <v>131.4</v>
      </c>
      <c r="Q110">
        <v>133.6</v>
      </c>
      <c r="R110">
        <v>133.19999999999999</v>
      </c>
      <c r="S110">
        <v>128.9</v>
      </c>
      <c r="T110">
        <v>132.6</v>
      </c>
      <c r="U110" t="s">
        <v>32</v>
      </c>
      <c r="V110">
        <v>126.2</v>
      </c>
      <c r="W110">
        <v>126.6</v>
      </c>
      <c r="X110">
        <v>123.7</v>
      </c>
      <c r="Y110">
        <v>113.6</v>
      </c>
      <c r="Z110">
        <v>121.4</v>
      </c>
      <c r="AA110">
        <v>126.2</v>
      </c>
      <c r="AB110">
        <v>114.9</v>
      </c>
      <c r="AC110">
        <v>120.1</v>
      </c>
      <c r="AD110">
        <v>128.1</v>
      </c>
    </row>
    <row r="111" spans="1:30" hidden="1" x14ac:dyDescent="0.3">
      <c r="A111" t="s">
        <v>33</v>
      </c>
      <c r="B111">
        <v>2016</v>
      </c>
      <c r="C111" t="s">
        <v>31</v>
      </c>
      <c r="D111">
        <v>124.7</v>
      </c>
      <c r="E111">
        <v>135.9</v>
      </c>
      <c r="F111">
        <v>132</v>
      </c>
      <c r="G111">
        <v>129.19999999999999</v>
      </c>
      <c r="H111">
        <v>109.7</v>
      </c>
      <c r="I111">
        <v>119</v>
      </c>
      <c r="J111">
        <v>144.1</v>
      </c>
      <c r="K111">
        <v>184.2</v>
      </c>
      <c r="L111">
        <v>96.7</v>
      </c>
      <c r="M111">
        <v>139.5</v>
      </c>
      <c r="N111">
        <v>120.5</v>
      </c>
      <c r="O111">
        <v>134.69999999999999</v>
      </c>
      <c r="P111">
        <v>131.19999999999999</v>
      </c>
      <c r="Q111">
        <v>139.5</v>
      </c>
      <c r="R111">
        <v>125.8</v>
      </c>
      <c r="S111">
        <v>119.8</v>
      </c>
      <c r="T111">
        <v>124.9</v>
      </c>
      <c r="U111">
        <v>123.4</v>
      </c>
      <c r="V111">
        <v>116.9</v>
      </c>
      <c r="W111">
        <v>121.6</v>
      </c>
      <c r="X111">
        <v>119.1</v>
      </c>
      <c r="Y111">
        <v>108.9</v>
      </c>
      <c r="Z111">
        <v>118.5</v>
      </c>
      <c r="AA111">
        <v>126.4</v>
      </c>
      <c r="AB111">
        <v>114</v>
      </c>
      <c r="AC111">
        <v>116.8</v>
      </c>
      <c r="AD111">
        <v>124.2</v>
      </c>
    </row>
    <row r="112" spans="1:30" hidden="1" x14ac:dyDescent="0.3">
      <c r="A112" t="s">
        <v>34</v>
      </c>
      <c r="B112">
        <v>2016</v>
      </c>
      <c r="C112" t="s">
        <v>31</v>
      </c>
      <c r="D112">
        <v>126.1</v>
      </c>
      <c r="E112">
        <v>134.1</v>
      </c>
      <c r="F112">
        <v>128.6</v>
      </c>
      <c r="G112">
        <v>129.9</v>
      </c>
      <c r="H112">
        <v>115.5</v>
      </c>
      <c r="I112">
        <v>125.7</v>
      </c>
      <c r="J112">
        <v>141.5</v>
      </c>
      <c r="K112">
        <v>170.7</v>
      </c>
      <c r="L112">
        <v>97.4</v>
      </c>
      <c r="M112">
        <v>132.9</v>
      </c>
      <c r="N112">
        <v>122.7</v>
      </c>
      <c r="O112">
        <v>135.30000000000001</v>
      </c>
      <c r="P112">
        <v>131.30000000000001</v>
      </c>
      <c r="Q112">
        <v>135.19999999999999</v>
      </c>
      <c r="R112">
        <v>130.30000000000001</v>
      </c>
      <c r="S112">
        <v>125.1</v>
      </c>
      <c r="T112">
        <v>129.5</v>
      </c>
      <c r="U112">
        <v>123.4</v>
      </c>
      <c r="V112">
        <v>122.7</v>
      </c>
      <c r="W112">
        <v>124.2</v>
      </c>
      <c r="X112">
        <v>122</v>
      </c>
      <c r="Y112">
        <v>111.1</v>
      </c>
      <c r="Z112">
        <v>119.8</v>
      </c>
      <c r="AA112">
        <v>126.3</v>
      </c>
      <c r="AB112">
        <v>114.5</v>
      </c>
      <c r="AC112">
        <v>118.5</v>
      </c>
      <c r="AD112">
        <v>126.3</v>
      </c>
    </row>
    <row r="113" spans="1:30" hidden="1" x14ac:dyDescent="0.3">
      <c r="A113" t="s">
        <v>30</v>
      </c>
      <c r="B113">
        <v>2016</v>
      </c>
      <c r="C113" t="s">
        <v>35</v>
      </c>
      <c r="D113">
        <v>127.1</v>
      </c>
      <c r="E113">
        <v>133.69999999999999</v>
      </c>
      <c r="F113">
        <v>127.7</v>
      </c>
      <c r="G113">
        <v>130.69999999999999</v>
      </c>
      <c r="H113">
        <v>118.5</v>
      </c>
      <c r="I113">
        <v>130.4</v>
      </c>
      <c r="J113">
        <v>130.9</v>
      </c>
      <c r="K113">
        <v>162.80000000000001</v>
      </c>
      <c r="L113">
        <v>98.7</v>
      </c>
      <c r="M113">
        <v>130.6</v>
      </c>
      <c r="N113">
        <v>124.8</v>
      </c>
      <c r="O113">
        <v>136.4</v>
      </c>
      <c r="P113">
        <v>130.30000000000001</v>
      </c>
      <c r="Q113">
        <v>134.4</v>
      </c>
      <c r="R113">
        <v>133.9</v>
      </c>
      <c r="S113">
        <v>129.80000000000001</v>
      </c>
      <c r="T113">
        <v>133.4</v>
      </c>
      <c r="U113" t="s">
        <v>32</v>
      </c>
      <c r="V113">
        <v>127.5</v>
      </c>
      <c r="W113">
        <v>127.1</v>
      </c>
      <c r="X113">
        <v>124.3</v>
      </c>
      <c r="Y113">
        <v>113.9</v>
      </c>
      <c r="Z113">
        <v>122.3</v>
      </c>
      <c r="AA113">
        <v>127.1</v>
      </c>
      <c r="AB113">
        <v>116.8</v>
      </c>
      <c r="AC113">
        <v>120.9</v>
      </c>
      <c r="AD113">
        <v>127.9</v>
      </c>
    </row>
    <row r="114" spans="1:30" hidden="1" x14ac:dyDescent="0.3">
      <c r="A114" t="s">
        <v>33</v>
      </c>
      <c r="B114">
        <v>2016</v>
      </c>
      <c r="C114" t="s">
        <v>35</v>
      </c>
      <c r="D114">
        <v>124.8</v>
      </c>
      <c r="E114">
        <v>135.1</v>
      </c>
      <c r="F114">
        <v>130.30000000000001</v>
      </c>
      <c r="G114">
        <v>129.6</v>
      </c>
      <c r="H114">
        <v>108.4</v>
      </c>
      <c r="I114">
        <v>118.6</v>
      </c>
      <c r="J114">
        <v>129.19999999999999</v>
      </c>
      <c r="K114">
        <v>176.4</v>
      </c>
      <c r="L114">
        <v>99.1</v>
      </c>
      <c r="M114">
        <v>139.69999999999999</v>
      </c>
      <c r="N114">
        <v>120.6</v>
      </c>
      <c r="O114">
        <v>135.19999999999999</v>
      </c>
      <c r="P114">
        <v>129.1</v>
      </c>
      <c r="Q114">
        <v>140</v>
      </c>
      <c r="R114">
        <v>126.2</v>
      </c>
      <c r="S114">
        <v>120.1</v>
      </c>
      <c r="T114">
        <v>125.3</v>
      </c>
      <c r="U114">
        <v>124.4</v>
      </c>
      <c r="V114">
        <v>116</v>
      </c>
      <c r="W114">
        <v>121.8</v>
      </c>
      <c r="X114">
        <v>119.5</v>
      </c>
      <c r="Y114">
        <v>109.1</v>
      </c>
      <c r="Z114">
        <v>118.8</v>
      </c>
      <c r="AA114">
        <v>126.3</v>
      </c>
      <c r="AB114">
        <v>116.2</v>
      </c>
      <c r="AC114">
        <v>117.2</v>
      </c>
      <c r="AD114">
        <v>123.8</v>
      </c>
    </row>
    <row r="115" spans="1:30" hidden="1" x14ac:dyDescent="0.3">
      <c r="A115" t="s">
        <v>34</v>
      </c>
      <c r="B115">
        <v>2016</v>
      </c>
      <c r="C115" t="s">
        <v>35</v>
      </c>
      <c r="D115">
        <v>126.4</v>
      </c>
      <c r="E115">
        <v>134.19999999999999</v>
      </c>
      <c r="F115">
        <v>128.69999999999999</v>
      </c>
      <c r="G115">
        <v>130.30000000000001</v>
      </c>
      <c r="H115">
        <v>114.8</v>
      </c>
      <c r="I115">
        <v>124.9</v>
      </c>
      <c r="J115">
        <v>130.30000000000001</v>
      </c>
      <c r="K115">
        <v>167.4</v>
      </c>
      <c r="L115">
        <v>98.8</v>
      </c>
      <c r="M115">
        <v>133.6</v>
      </c>
      <c r="N115">
        <v>123</v>
      </c>
      <c r="O115">
        <v>135.80000000000001</v>
      </c>
      <c r="P115">
        <v>129.9</v>
      </c>
      <c r="Q115">
        <v>135.9</v>
      </c>
      <c r="R115">
        <v>130.9</v>
      </c>
      <c r="S115">
        <v>125.8</v>
      </c>
      <c r="T115">
        <v>130.19999999999999</v>
      </c>
      <c r="U115">
        <v>124.4</v>
      </c>
      <c r="V115">
        <v>123.1</v>
      </c>
      <c r="W115">
        <v>124.6</v>
      </c>
      <c r="X115">
        <v>122.5</v>
      </c>
      <c r="Y115">
        <v>111.4</v>
      </c>
      <c r="Z115">
        <v>120.3</v>
      </c>
      <c r="AA115">
        <v>126.6</v>
      </c>
      <c r="AB115">
        <v>116.6</v>
      </c>
      <c r="AC115">
        <v>119.1</v>
      </c>
      <c r="AD115">
        <v>126</v>
      </c>
    </row>
    <row r="116" spans="1:30" hidden="1" x14ac:dyDescent="0.3">
      <c r="A116" t="s">
        <v>30</v>
      </c>
      <c r="B116">
        <v>2016</v>
      </c>
      <c r="C116" t="s">
        <v>36</v>
      </c>
      <c r="D116">
        <v>127.3</v>
      </c>
      <c r="E116">
        <v>134.4</v>
      </c>
      <c r="F116">
        <v>125.1</v>
      </c>
      <c r="G116">
        <v>130.5</v>
      </c>
      <c r="H116">
        <v>118.3</v>
      </c>
      <c r="I116">
        <v>131.69999999999999</v>
      </c>
      <c r="J116">
        <v>130.69999999999999</v>
      </c>
      <c r="K116">
        <v>161.19999999999999</v>
      </c>
      <c r="L116">
        <v>100.4</v>
      </c>
      <c r="M116">
        <v>130.80000000000001</v>
      </c>
      <c r="N116">
        <v>124.9</v>
      </c>
      <c r="O116">
        <v>137</v>
      </c>
      <c r="P116">
        <v>130.4</v>
      </c>
      <c r="Q116">
        <v>135</v>
      </c>
      <c r="R116">
        <v>134.4</v>
      </c>
      <c r="S116">
        <v>130.19999999999999</v>
      </c>
      <c r="T116">
        <v>133.80000000000001</v>
      </c>
      <c r="U116" t="s">
        <v>32</v>
      </c>
      <c r="V116">
        <v>127</v>
      </c>
      <c r="W116">
        <v>127.7</v>
      </c>
      <c r="X116">
        <v>124.8</v>
      </c>
      <c r="Y116">
        <v>113.6</v>
      </c>
      <c r="Z116">
        <v>122.5</v>
      </c>
      <c r="AA116">
        <v>127.5</v>
      </c>
      <c r="AB116">
        <v>117.4</v>
      </c>
      <c r="AC116">
        <v>121.1</v>
      </c>
      <c r="AD116">
        <v>128</v>
      </c>
    </row>
    <row r="117" spans="1:30" hidden="1" x14ac:dyDescent="0.3">
      <c r="A117" t="s">
        <v>33</v>
      </c>
      <c r="B117">
        <v>2016</v>
      </c>
      <c r="C117" t="s">
        <v>36</v>
      </c>
      <c r="D117">
        <v>124.8</v>
      </c>
      <c r="E117">
        <v>136.30000000000001</v>
      </c>
      <c r="F117">
        <v>123.7</v>
      </c>
      <c r="G117">
        <v>129.69999999999999</v>
      </c>
      <c r="H117">
        <v>107.9</v>
      </c>
      <c r="I117">
        <v>119.9</v>
      </c>
      <c r="J117">
        <v>128.1</v>
      </c>
      <c r="K117">
        <v>170.3</v>
      </c>
      <c r="L117">
        <v>101.8</v>
      </c>
      <c r="M117">
        <v>140.1</v>
      </c>
      <c r="N117">
        <v>120.7</v>
      </c>
      <c r="O117">
        <v>135.4</v>
      </c>
      <c r="P117">
        <v>128.9</v>
      </c>
      <c r="Q117">
        <v>140.6</v>
      </c>
      <c r="R117">
        <v>126.4</v>
      </c>
      <c r="S117">
        <v>120.3</v>
      </c>
      <c r="T117">
        <v>125.5</v>
      </c>
      <c r="U117">
        <v>124.9</v>
      </c>
      <c r="V117">
        <v>114.8</v>
      </c>
      <c r="W117">
        <v>122.3</v>
      </c>
      <c r="X117">
        <v>119.7</v>
      </c>
      <c r="Y117">
        <v>108.5</v>
      </c>
      <c r="Z117">
        <v>119.1</v>
      </c>
      <c r="AA117">
        <v>126.4</v>
      </c>
      <c r="AB117">
        <v>117.1</v>
      </c>
      <c r="AC117">
        <v>117.3</v>
      </c>
      <c r="AD117">
        <v>123.8</v>
      </c>
    </row>
    <row r="118" spans="1:30" hidden="1" x14ac:dyDescent="0.3">
      <c r="A118" t="s">
        <v>34</v>
      </c>
      <c r="B118">
        <v>2016</v>
      </c>
      <c r="C118" t="s">
        <v>36</v>
      </c>
      <c r="D118">
        <v>126.5</v>
      </c>
      <c r="E118">
        <v>135.1</v>
      </c>
      <c r="F118">
        <v>124.6</v>
      </c>
      <c r="G118">
        <v>130.19999999999999</v>
      </c>
      <c r="H118">
        <v>114.5</v>
      </c>
      <c r="I118">
        <v>126.2</v>
      </c>
      <c r="J118">
        <v>129.80000000000001</v>
      </c>
      <c r="K118">
        <v>164.3</v>
      </c>
      <c r="L118">
        <v>100.9</v>
      </c>
      <c r="M118">
        <v>133.9</v>
      </c>
      <c r="N118">
        <v>123.1</v>
      </c>
      <c r="O118">
        <v>136.30000000000001</v>
      </c>
      <c r="P118">
        <v>129.80000000000001</v>
      </c>
      <c r="Q118">
        <v>136.5</v>
      </c>
      <c r="R118">
        <v>131.30000000000001</v>
      </c>
      <c r="S118">
        <v>126.1</v>
      </c>
      <c r="T118">
        <v>130.5</v>
      </c>
      <c r="U118">
        <v>124.9</v>
      </c>
      <c r="V118">
        <v>122.4</v>
      </c>
      <c r="W118">
        <v>125.1</v>
      </c>
      <c r="X118">
        <v>122.9</v>
      </c>
      <c r="Y118">
        <v>110.9</v>
      </c>
      <c r="Z118">
        <v>120.6</v>
      </c>
      <c r="AA118">
        <v>126.9</v>
      </c>
      <c r="AB118">
        <v>117.3</v>
      </c>
      <c r="AC118">
        <v>119.3</v>
      </c>
      <c r="AD118">
        <v>126</v>
      </c>
    </row>
    <row r="119" spans="1:30" hidden="1" x14ac:dyDescent="0.3">
      <c r="A119" t="s">
        <v>30</v>
      </c>
      <c r="B119">
        <v>2016</v>
      </c>
      <c r="C119" t="s">
        <v>37</v>
      </c>
      <c r="D119">
        <v>127.4</v>
      </c>
      <c r="E119">
        <v>135.4</v>
      </c>
      <c r="F119">
        <v>123.4</v>
      </c>
      <c r="G119">
        <v>131.30000000000001</v>
      </c>
      <c r="H119">
        <v>118.2</v>
      </c>
      <c r="I119">
        <v>138.1</v>
      </c>
      <c r="J119">
        <v>134.1</v>
      </c>
      <c r="K119">
        <v>162.69999999999999</v>
      </c>
      <c r="L119">
        <v>105</v>
      </c>
      <c r="M119">
        <v>131.4</v>
      </c>
      <c r="N119">
        <v>125.4</v>
      </c>
      <c r="O119">
        <v>137.4</v>
      </c>
      <c r="P119">
        <v>131.80000000000001</v>
      </c>
      <c r="Q119">
        <v>135.5</v>
      </c>
      <c r="R119">
        <v>135</v>
      </c>
      <c r="S119">
        <v>130.6</v>
      </c>
      <c r="T119">
        <v>134.4</v>
      </c>
      <c r="U119" t="s">
        <v>32</v>
      </c>
      <c r="V119">
        <v>127</v>
      </c>
      <c r="W119">
        <v>128</v>
      </c>
      <c r="X119">
        <v>125.2</v>
      </c>
      <c r="Y119">
        <v>114.4</v>
      </c>
      <c r="Z119">
        <v>123.2</v>
      </c>
      <c r="AA119">
        <v>127.9</v>
      </c>
      <c r="AB119">
        <v>118.4</v>
      </c>
      <c r="AC119">
        <v>121.7</v>
      </c>
      <c r="AD119">
        <v>129</v>
      </c>
    </row>
    <row r="120" spans="1:30" hidden="1" x14ac:dyDescent="0.3">
      <c r="A120" t="s">
        <v>33</v>
      </c>
      <c r="B120">
        <v>2016</v>
      </c>
      <c r="C120" t="s">
        <v>37</v>
      </c>
      <c r="D120">
        <v>124.9</v>
      </c>
      <c r="E120">
        <v>139.30000000000001</v>
      </c>
      <c r="F120">
        <v>119.9</v>
      </c>
      <c r="G120">
        <v>130.19999999999999</v>
      </c>
      <c r="H120">
        <v>108.9</v>
      </c>
      <c r="I120">
        <v>131.1</v>
      </c>
      <c r="J120">
        <v>136.80000000000001</v>
      </c>
      <c r="K120">
        <v>176.9</v>
      </c>
      <c r="L120">
        <v>109.1</v>
      </c>
      <c r="M120">
        <v>140.4</v>
      </c>
      <c r="N120">
        <v>121.1</v>
      </c>
      <c r="O120">
        <v>135.9</v>
      </c>
      <c r="P120">
        <v>131.80000000000001</v>
      </c>
      <c r="Q120">
        <v>141.5</v>
      </c>
      <c r="R120">
        <v>126.8</v>
      </c>
      <c r="S120">
        <v>120.5</v>
      </c>
      <c r="T120">
        <v>125.8</v>
      </c>
      <c r="U120">
        <v>125.6</v>
      </c>
      <c r="V120">
        <v>114.6</v>
      </c>
      <c r="W120">
        <v>122.8</v>
      </c>
      <c r="X120">
        <v>120</v>
      </c>
      <c r="Y120">
        <v>110</v>
      </c>
      <c r="Z120">
        <v>119.5</v>
      </c>
      <c r="AA120">
        <v>127.6</v>
      </c>
      <c r="AB120">
        <v>117.6</v>
      </c>
      <c r="AC120">
        <v>118.2</v>
      </c>
      <c r="AD120">
        <v>125.3</v>
      </c>
    </row>
    <row r="121" spans="1:30" hidden="1" x14ac:dyDescent="0.3">
      <c r="A121" t="s">
        <v>34</v>
      </c>
      <c r="B121">
        <v>2016</v>
      </c>
      <c r="C121" t="s">
        <v>37</v>
      </c>
      <c r="D121">
        <v>126.6</v>
      </c>
      <c r="E121">
        <v>136.80000000000001</v>
      </c>
      <c r="F121">
        <v>122</v>
      </c>
      <c r="G121">
        <v>130.9</v>
      </c>
      <c r="H121">
        <v>114.8</v>
      </c>
      <c r="I121">
        <v>134.80000000000001</v>
      </c>
      <c r="J121">
        <v>135</v>
      </c>
      <c r="K121">
        <v>167.5</v>
      </c>
      <c r="L121">
        <v>106.4</v>
      </c>
      <c r="M121">
        <v>134.4</v>
      </c>
      <c r="N121">
        <v>123.6</v>
      </c>
      <c r="O121">
        <v>136.69999999999999</v>
      </c>
      <c r="P121">
        <v>131.80000000000001</v>
      </c>
      <c r="Q121">
        <v>137.1</v>
      </c>
      <c r="R121">
        <v>131.80000000000001</v>
      </c>
      <c r="S121">
        <v>126.4</v>
      </c>
      <c r="T121">
        <v>131</v>
      </c>
      <c r="U121">
        <v>125.6</v>
      </c>
      <c r="V121">
        <v>122.3</v>
      </c>
      <c r="W121">
        <v>125.5</v>
      </c>
      <c r="X121">
        <v>123.2</v>
      </c>
      <c r="Y121">
        <v>112.1</v>
      </c>
      <c r="Z121">
        <v>121.1</v>
      </c>
      <c r="AA121">
        <v>127.7</v>
      </c>
      <c r="AB121">
        <v>118.1</v>
      </c>
      <c r="AC121">
        <v>120</v>
      </c>
      <c r="AD121">
        <v>127.3</v>
      </c>
    </row>
    <row r="122" spans="1:30" hidden="1" x14ac:dyDescent="0.3">
      <c r="A122" t="s">
        <v>30</v>
      </c>
      <c r="B122">
        <v>2016</v>
      </c>
      <c r="C122" t="s">
        <v>38</v>
      </c>
      <c r="D122">
        <v>127.6</v>
      </c>
      <c r="E122">
        <v>137.5</v>
      </c>
      <c r="F122">
        <v>124.4</v>
      </c>
      <c r="G122">
        <v>132.4</v>
      </c>
      <c r="H122">
        <v>118.2</v>
      </c>
      <c r="I122">
        <v>138.1</v>
      </c>
      <c r="J122">
        <v>141.80000000000001</v>
      </c>
      <c r="K122">
        <v>166</v>
      </c>
      <c r="L122">
        <v>107.5</v>
      </c>
      <c r="M122">
        <v>132.19999999999999</v>
      </c>
      <c r="N122">
        <v>126.1</v>
      </c>
      <c r="O122">
        <v>138.30000000000001</v>
      </c>
      <c r="P122">
        <v>133.6</v>
      </c>
      <c r="Q122">
        <v>136</v>
      </c>
      <c r="R122">
        <v>135.4</v>
      </c>
      <c r="S122">
        <v>131.1</v>
      </c>
      <c r="T122">
        <v>134.80000000000001</v>
      </c>
      <c r="U122" t="s">
        <v>32</v>
      </c>
      <c r="V122">
        <v>127.4</v>
      </c>
      <c r="W122">
        <v>128.5</v>
      </c>
      <c r="X122">
        <v>125.8</v>
      </c>
      <c r="Y122">
        <v>115.1</v>
      </c>
      <c r="Z122">
        <v>123.6</v>
      </c>
      <c r="AA122">
        <v>129.1</v>
      </c>
      <c r="AB122">
        <v>119.7</v>
      </c>
      <c r="AC122">
        <v>122.5</v>
      </c>
      <c r="AD122">
        <v>130.30000000000001</v>
      </c>
    </row>
    <row r="123" spans="1:30" hidden="1" x14ac:dyDescent="0.3">
      <c r="A123" t="s">
        <v>33</v>
      </c>
      <c r="B123">
        <v>2016</v>
      </c>
      <c r="C123" t="s">
        <v>38</v>
      </c>
      <c r="D123">
        <v>125</v>
      </c>
      <c r="E123">
        <v>142.1</v>
      </c>
      <c r="F123">
        <v>127</v>
      </c>
      <c r="G123">
        <v>130.4</v>
      </c>
      <c r="H123">
        <v>109.6</v>
      </c>
      <c r="I123">
        <v>133.5</v>
      </c>
      <c r="J123">
        <v>151.4</v>
      </c>
      <c r="K123">
        <v>182.8</v>
      </c>
      <c r="L123">
        <v>111.1</v>
      </c>
      <c r="M123">
        <v>141.5</v>
      </c>
      <c r="N123">
        <v>121.5</v>
      </c>
      <c r="O123">
        <v>136.30000000000001</v>
      </c>
      <c r="P123">
        <v>134.6</v>
      </c>
      <c r="Q123">
        <v>142.19999999999999</v>
      </c>
      <c r="R123">
        <v>127.2</v>
      </c>
      <c r="S123">
        <v>120.7</v>
      </c>
      <c r="T123">
        <v>126.2</v>
      </c>
      <c r="U123">
        <v>126</v>
      </c>
      <c r="V123">
        <v>115</v>
      </c>
      <c r="W123">
        <v>123.2</v>
      </c>
      <c r="X123">
        <v>120.3</v>
      </c>
      <c r="Y123">
        <v>110.7</v>
      </c>
      <c r="Z123">
        <v>119.8</v>
      </c>
      <c r="AA123">
        <v>128</v>
      </c>
      <c r="AB123">
        <v>118.5</v>
      </c>
      <c r="AC123">
        <v>118.7</v>
      </c>
      <c r="AD123">
        <v>126.6</v>
      </c>
    </row>
    <row r="124" spans="1:30" hidden="1" x14ac:dyDescent="0.3">
      <c r="A124" t="s">
        <v>34</v>
      </c>
      <c r="B124">
        <v>2016</v>
      </c>
      <c r="C124" t="s">
        <v>38</v>
      </c>
      <c r="D124">
        <v>126.8</v>
      </c>
      <c r="E124">
        <v>139.1</v>
      </c>
      <c r="F124">
        <v>125.4</v>
      </c>
      <c r="G124">
        <v>131.69999999999999</v>
      </c>
      <c r="H124">
        <v>115</v>
      </c>
      <c r="I124">
        <v>136</v>
      </c>
      <c r="J124">
        <v>145.1</v>
      </c>
      <c r="K124">
        <v>171.7</v>
      </c>
      <c r="L124">
        <v>108.7</v>
      </c>
      <c r="M124">
        <v>135.30000000000001</v>
      </c>
      <c r="N124">
        <v>124.2</v>
      </c>
      <c r="O124">
        <v>137.4</v>
      </c>
      <c r="P124">
        <v>134</v>
      </c>
      <c r="Q124">
        <v>137.69999999999999</v>
      </c>
      <c r="R124">
        <v>132.19999999999999</v>
      </c>
      <c r="S124">
        <v>126.8</v>
      </c>
      <c r="T124">
        <v>131.4</v>
      </c>
      <c r="U124">
        <v>126</v>
      </c>
      <c r="V124">
        <v>122.7</v>
      </c>
      <c r="W124">
        <v>126</v>
      </c>
      <c r="X124">
        <v>123.7</v>
      </c>
      <c r="Y124">
        <v>112.8</v>
      </c>
      <c r="Z124">
        <v>121.5</v>
      </c>
      <c r="AA124">
        <v>128.5</v>
      </c>
      <c r="AB124">
        <v>119.2</v>
      </c>
      <c r="AC124">
        <v>120.7</v>
      </c>
      <c r="AD124">
        <v>128.6</v>
      </c>
    </row>
    <row r="125" spans="1:30" hidden="1" x14ac:dyDescent="0.3">
      <c r="A125" t="s">
        <v>30</v>
      </c>
      <c r="B125">
        <v>2016</v>
      </c>
      <c r="C125" t="s">
        <v>39</v>
      </c>
      <c r="D125">
        <v>128.6</v>
      </c>
      <c r="E125">
        <v>138.6</v>
      </c>
      <c r="F125">
        <v>126.6</v>
      </c>
      <c r="G125">
        <v>133.6</v>
      </c>
      <c r="H125">
        <v>118.6</v>
      </c>
      <c r="I125">
        <v>137.4</v>
      </c>
      <c r="J125">
        <v>152.5</v>
      </c>
      <c r="K125">
        <v>169.2</v>
      </c>
      <c r="L125">
        <v>108.8</v>
      </c>
      <c r="M125">
        <v>133.1</v>
      </c>
      <c r="N125">
        <v>126.4</v>
      </c>
      <c r="O125">
        <v>139.19999999999999</v>
      </c>
      <c r="P125">
        <v>136</v>
      </c>
      <c r="Q125">
        <v>137.19999999999999</v>
      </c>
      <c r="R125">
        <v>136.30000000000001</v>
      </c>
      <c r="S125">
        <v>131.6</v>
      </c>
      <c r="T125">
        <v>135.6</v>
      </c>
      <c r="U125" t="s">
        <v>32</v>
      </c>
      <c r="V125">
        <v>128</v>
      </c>
      <c r="W125">
        <v>129.30000000000001</v>
      </c>
      <c r="X125">
        <v>126.2</v>
      </c>
      <c r="Y125">
        <v>116.3</v>
      </c>
      <c r="Z125">
        <v>124.1</v>
      </c>
      <c r="AA125">
        <v>130.19999999999999</v>
      </c>
      <c r="AB125">
        <v>119.9</v>
      </c>
      <c r="AC125">
        <v>123.3</v>
      </c>
      <c r="AD125">
        <v>131.9</v>
      </c>
    </row>
    <row r="126" spans="1:30" hidden="1" x14ac:dyDescent="0.3">
      <c r="A126" t="s">
        <v>33</v>
      </c>
      <c r="B126">
        <v>2016</v>
      </c>
      <c r="C126" t="s">
        <v>39</v>
      </c>
      <c r="D126">
        <v>125.9</v>
      </c>
      <c r="E126">
        <v>143.9</v>
      </c>
      <c r="F126">
        <v>130.9</v>
      </c>
      <c r="G126">
        <v>131</v>
      </c>
      <c r="H126">
        <v>110.2</v>
      </c>
      <c r="I126">
        <v>135.5</v>
      </c>
      <c r="J126">
        <v>173.7</v>
      </c>
      <c r="K126">
        <v>184.4</v>
      </c>
      <c r="L126">
        <v>112</v>
      </c>
      <c r="M126">
        <v>142.80000000000001</v>
      </c>
      <c r="N126">
        <v>121.6</v>
      </c>
      <c r="O126">
        <v>136.9</v>
      </c>
      <c r="P126">
        <v>138.19999999999999</v>
      </c>
      <c r="Q126">
        <v>142.69999999999999</v>
      </c>
      <c r="R126">
        <v>127.6</v>
      </c>
      <c r="S126">
        <v>121.1</v>
      </c>
      <c r="T126">
        <v>126.6</v>
      </c>
      <c r="U126">
        <v>125.5</v>
      </c>
      <c r="V126">
        <v>115.5</v>
      </c>
      <c r="W126">
        <v>123.2</v>
      </c>
      <c r="X126">
        <v>120.6</v>
      </c>
      <c r="Y126">
        <v>112.3</v>
      </c>
      <c r="Z126">
        <v>119.9</v>
      </c>
      <c r="AA126">
        <v>129.30000000000001</v>
      </c>
      <c r="AB126">
        <v>118.8</v>
      </c>
      <c r="AC126">
        <v>119.6</v>
      </c>
      <c r="AD126">
        <v>128.1</v>
      </c>
    </row>
    <row r="127" spans="1:30" hidden="1" x14ac:dyDescent="0.3">
      <c r="A127" t="s">
        <v>34</v>
      </c>
      <c r="B127">
        <v>2016</v>
      </c>
      <c r="C127" t="s">
        <v>39</v>
      </c>
      <c r="D127">
        <v>127.7</v>
      </c>
      <c r="E127">
        <v>140.5</v>
      </c>
      <c r="F127">
        <v>128.30000000000001</v>
      </c>
      <c r="G127">
        <v>132.6</v>
      </c>
      <c r="H127">
        <v>115.5</v>
      </c>
      <c r="I127">
        <v>136.5</v>
      </c>
      <c r="J127">
        <v>159.69999999999999</v>
      </c>
      <c r="K127">
        <v>174.3</v>
      </c>
      <c r="L127">
        <v>109.9</v>
      </c>
      <c r="M127">
        <v>136.30000000000001</v>
      </c>
      <c r="N127">
        <v>124.4</v>
      </c>
      <c r="O127">
        <v>138.1</v>
      </c>
      <c r="P127">
        <v>136.80000000000001</v>
      </c>
      <c r="Q127">
        <v>138.69999999999999</v>
      </c>
      <c r="R127">
        <v>132.9</v>
      </c>
      <c r="S127">
        <v>127.2</v>
      </c>
      <c r="T127">
        <v>132</v>
      </c>
      <c r="U127">
        <v>125.5</v>
      </c>
      <c r="V127">
        <v>123.3</v>
      </c>
      <c r="W127">
        <v>126.4</v>
      </c>
      <c r="X127">
        <v>124.1</v>
      </c>
      <c r="Y127">
        <v>114.2</v>
      </c>
      <c r="Z127">
        <v>121.7</v>
      </c>
      <c r="AA127">
        <v>129.69999999999999</v>
      </c>
      <c r="AB127">
        <v>119.4</v>
      </c>
      <c r="AC127">
        <v>121.5</v>
      </c>
      <c r="AD127">
        <v>130.1</v>
      </c>
    </row>
    <row r="128" spans="1:30" hidden="1" x14ac:dyDescent="0.3">
      <c r="A128" t="s">
        <v>30</v>
      </c>
      <c r="B128">
        <v>2016</v>
      </c>
      <c r="C128" t="s">
        <v>40</v>
      </c>
      <c r="D128">
        <v>129.30000000000001</v>
      </c>
      <c r="E128">
        <v>139.5</v>
      </c>
      <c r="F128">
        <v>129.6</v>
      </c>
      <c r="G128">
        <v>134.5</v>
      </c>
      <c r="H128">
        <v>119.5</v>
      </c>
      <c r="I128">
        <v>138.5</v>
      </c>
      <c r="J128">
        <v>158.19999999999999</v>
      </c>
      <c r="K128">
        <v>171.8</v>
      </c>
      <c r="L128">
        <v>110.3</v>
      </c>
      <c r="M128">
        <v>134.30000000000001</v>
      </c>
      <c r="N128">
        <v>127.3</v>
      </c>
      <c r="O128">
        <v>139.9</v>
      </c>
      <c r="P128">
        <v>137.6</v>
      </c>
      <c r="Q128">
        <v>138</v>
      </c>
      <c r="R128">
        <v>137.19999999999999</v>
      </c>
      <c r="S128">
        <v>132.19999999999999</v>
      </c>
      <c r="T128">
        <v>136.5</v>
      </c>
      <c r="U128" t="s">
        <v>32</v>
      </c>
      <c r="V128">
        <v>128.19999999999999</v>
      </c>
      <c r="W128">
        <v>130</v>
      </c>
      <c r="X128">
        <v>126.7</v>
      </c>
      <c r="Y128">
        <v>116.4</v>
      </c>
      <c r="Z128">
        <v>125.2</v>
      </c>
      <c r="AA128">
        <v>130.80000000000001</v>
      </c>
      <c r="AB128">
        <v>120.9</v>
      </c>
      <c r="AC128">
        <v>123.8</v>
      </c>
      <c r="AD128">
        <v>133</v>
      </c>
    </row>
    <row r="129" spans="1:30" hidden="1" x14ac:dyDescent="0.3">
      <c r="A129" t="s">
        <v>33</v>
      </c>
      <c r="B129">
        <v>2016</v>
      </c>
      <c r="C129" t="s">
        <v>40</v>
      </c>
      <c r="D129">
        <v>126.8</v>
      </c>
      <c r="E129">
        <v>144.19999999999999</v>
      </c>
      <c r="F129">
        <v>136.6</v>
      </c>
      <c r="G129">
        <v>131.80000000000001</v>
      </c>
      <c r="H129">
        <v>111</v>
      </c>
      <c r="I129">
        <v>137</v>
      </c>
      <c r="J129">
        <v>179.5</v>
      </c>
      <c r="K129">
        <v>188.4</v>
      </c>
      <c r="L129">
        <v>113.3</v>
      </c>
      <c r="M129">
        <v>143.9</v>
      </c>
      <c r="N129">
        <v>121.7</v>
      </c>
      <c r="O129">
        <v>137.5</v>
      </c>
      <c r="P129">
        <v>139.80000000000001</v>
      </c>
      <c r="Q129">
        <v>142.9</v>
      </c>
      <c r="R129">
        <v>127.9</v>
      </c>
      <c r="S129">
        <v>121.1</v>
      </c>
      <c r="T129">
        <v>126.9</v>
      </c>
      <c r="U129">
        <v>126.4</v>
      </c>
      <c r="V129">
        <v>115.5</v>
      </c>
      <c r="W129">
        <v>123.5</v>
      </c>
      <c r="X129">
        <v>120.9</v>
      </c>
      <c r="Y129">
        <v>111.7</v>
      </c>
      <c r="Z129">
        <v>120.3</v>
      </c>
      <c r="AA129">
        <v>130.80000000000001</v>
      </c>
      <c r="AB129">
        <v>120</v>
      </c>
      <c r="AC129">
        <v>119.9</v>
      </c>
      <c r="AD129">
        <v>129</v>
      </c>
    </row>
    <row r="130" spans="1:30" hidden="1" x14ac:dyDescent="0.3">
      <c r="A130" t="s">
        <v>34</v>
      </c>
      <c r="B130">
        <v>2016</v>
      </c>
      <c r="C130" t="s">
        <v>40</v>
      </c>
      <c r="D130">
        <v>128.5</v>
      </c>
      <c r="E130">
        <v>141.19999999999999</v>
      </c>
      <c r="F130">
        <v>132.30000000000001</v>
      </c>
      <c r="G130">
        <v>133.5</v>
      </c>
      <c r="H130">
        <v>116.4</v>
      </c>
      <c r="I130">
        <v>137.80000000000001</v>
      </c>
      <c r="J130">
        <v>165.4</v>
      </c>
      <c r="K130">
        <v>177.4</v>
      </c>
      <c r="L130">
        <v>111.3</v>
      </c>
      <c r="M130">
        <v>137.5</v>
      </c>
      <c r="N130">
        <v>125</v>
      </c>
      <c r="O130">
        <v>138.80000000000001</v>
      </c>
      <c r="P130">
        <v>138.4</v>
      </c>
      <c r="Q130">
        <v>139.30000000000001</v>
      </c>
      <c r="R130">
        <v>133.5</v>
      </c>
      <c r="S130">
        <v>127.6</v>
      </c>
      <c r="T130">
        <v>132.69999999999999</v>
      </c>
      <c r="U130">
        <v>126.4</v>
      </c>
      <c r="V130">
        <v>123.4</v>
      </c>
      <c r="W130">
        <v>126.9</v>
      </c>
      <c r="X130">
        <v>124.5</v>
      </c>
      <c r="Y130">
        <v>113.9</v>
      </c>
      <c r="Z130">
        <v>122.4</v>
      </c>
      <c r="AA130">
        <v>130.80000000000001</v>
      </c>
      <c r="AB130">
        <v>120.5</v>
      </c>
      <c r="AC130">
        <v>121.9</v>
      </c>
      <c r="AD130">
        <v>131.1</v>
      </c>
    </row>
    <row r="131" spans="1:30" hidden="1" x14ac:dyDescent="0.3">
      <c r="A131" t="s">
        <v>30</v>
      </c>
      <c r="B131">
        <v>2016</v>
      </c>
      <c r="C131" t="s">
        <v>41</v>
      </c>
      <c r="D131">
        <v>130.1</v>
      </c>
      <c r="E131">
        <v>138.80000000000001</v>
      </c>
      <c r="F131">
        <v>130.30000000000001</v>
      </c>
      <c r="G131">
        <v>135.30000000000001</v>
      </c>
      <c r="H131">
        <v>119.9</v>
      </c>
      <c r="I131">
        <v>140.19999999999999</v>
      </c>
      <c r="J131">
        <v>156.9</v>
      </c>
      <c r="K131">
        <v>172.2</v>
      </c>
      <c r="L131">
        <v>112.1</v>
      </c>
      <c r="M131">
        <v>134.9</v>
      </c>
      <c r="N131">
        <v>128.1</v>
      </c>
      <c r="O131">
        <v>140.69999999999999</v>
      </c>
      <c r="P131">
        <v>138</v>
      </c>
      <c r="Q131">
        <v>138.9</v>
      </c>
      <c r="R131">
        <v>137.80000000000001</v>
      </c>
      <c r="S131">
        <v>133</v>
      </c>
      <c r="T131">
        <v>137.1</v>
      </c>
      <c r="U131" t="s">
        <v>32</v>
      </c>
      <c r="V131">
        <v>129.1</v>
      </c>
      <c r="W131">
        <v>130.6</v>
      </c>
      <c r="X131">
        <v>127</v>
      </c>
      <c r="Y131">
        <v>116</v>
      </c>
      <c r="Z131">
        <v>125.5</v>
      </c>
      <c r="AA131">
        <v>131.9</v>
      </c>
      <c r="AB131">
        <v>122</v>
      </c>
      <c r="AC131">
        <v>124.2</v>
      </c>
      <c r="AD131">
        <v>133.5</v>
      </c>
    </row>
    <row r="132" spans="1:30" hidden="1" x14ac:dyDescent="0.3">
      <c r="A132" t="s">
        <v>33</v>
      </c>
      <c r="B132">
        <v>2016</v>
      </c>
      <c r="C132" t="s">
        <v>41</v>
      </c>
      <c r="D132">
        <v>127.6</v>
      </c>
      <c r="E132">
        <v>140.30000000000001</v>
      </c>
      <c r="F132">
        <v>133.69999999999999</v>
      </c>
      <c r="G132">
        <v>132.19999999999999</v>
      </c>
      <c r="H132">
        <v>111.8</v>
      </c>
      <c r="I132">
        <v>135.80000000000001</v>
      </c>
      <c r="J132">
        <v>163.5</v>
      </c>
      <c r="K132">
        <v>182.3</v>
      </c>
      <c r="L132">
        <v>114.6</v>
      </c>
      <c r="M132">
        <v>144.6</v>
      </c>
      <c r="N132">
        <v>121.9</v>
      </c>
      <c r="O132">
        <v>138.1</v>
      </c>
      <c r="P132">
        <v>137.6</v>
      </c>
      <c r="Q132">
        <v>143.6</v>
      </c>
      <c r="R132">
        <v>128.30000000000001</v>
      </c>
      <c r="S132">
        <v>121.4</v>
      </c>
      <c r="T132">
        <v>127.3</v>
      </c>
      <c r="U132">
        <v>127.3</v>
      </c>
      <c r="V132">
        <v>114.7</v>
      </c>
      <c r="W132">
        <v>123.9</v>
      </c>
      <c r="X132">
        <v>121.2</v>
      </c>
      <c r="Y132">
        <v>110.4</v>
      </c>
      <c r="Z132">
        <v>120.6</v>
      </c>
      <c r="AA132">
        <v>131.5</v>
      </c>
      <c r="AB132">
        <v>120.9</v>
      </c>
      <c r="AC132">
        <v>119.9</v>
      </c>
      <c r="AD132">
        <v>128.4</v>
      </c>
    </row>
    <row r="133" spans="1:30" hidden="1" x14ac:dyDescent="0.3">
      <c r="A133" t="s">
        <v>34</v>
      </c>
      <c r="B133">
        <v>2016</v>
      </c>
      <c r="C133" t="s">
        <v>41</v>
      </c>
      <c r="D133">
        <v>129.30000000000001</v>
      </c>
      <c r="E133">
        <v>139.30000000000001</v>
      </c>
      <c r="F133">
        <v>131.6</v>
      </c>
      <c r="G133">
        <v>134.1</v>
      </c>
      <c r="H133">
        <v>116.9</v>
      </c>
      <c r="I133">
        <v>138.1</v>
      </c>
      <c r="J133">
        <v>159.1</v>
      </c>
      <c r="K133">
        <v>175.6</v>
      </c>
      <c r="L133">
        <v>112.9</v>
      </c>
      <c r="M133">
        <v>138.1</v>
      </c>
      <c r="N133">
        <v>125.5</v>
      </c>
      <c r="O133">
        <v>139.5</v>
      </c>
      <c r="P133">
        <v>137.9</v>
      </c>
      <c r="Q133">
        <v>140.19999999999999</v>
      </c>
      <c r="R133">
        <v>134.1</v>
      </c>
      <c r="S133">
        <v>128.19999999999999</v>
      </c>
      <c r="T133">
        <v>133.19999999999999</v>
      </c>
      <c r="U133">
        <v>127.3</v>
      </c>
      <c r="V133">
        <v>123.6</v>
      </c>
      <c r="W133">
        <v>127.4</v>
      </c>
      <c r="X133">
        <v>124.8</v>
      </c>
      <c r="Y133">
        <v>113.1</v>
      </c>
      <c r="Z133">
        <v>122.7</v>
      </c>
      <c r="AA133">
        <v>131.69999999999999</v>
      </c>
      <c r="AB133">
        <v>121.5</v>
      </c>
      <c r="AC133">
        <v>122.1</v>
      </c>
      <c r="AD133">
        <v>131.1</v>
      </c>
    </row>
    <row r="134" spans="1:30" hidden="1" x14ac:dyDescent="0.3">
      <c r="A134" t="s">
        <v>30</v>
      </c>
      <c r="B134">
        <v>2016</v>
      </c>
      <c r="C134" t="s">
        <v>42</v>
      </c>
      <c r="D134">
        <v>130.80000000000001</v>
      </c>
      <c r="E134">
        <v>138.19999999999999</v>
      </c>
      <c r="F134">
        <v>130.5</v>
      </c>
      <c r="G134">
        <v>135.5</v>
      </c>
      <c r="H134">
        <v>120.2</v>
      </c>
      <c r="I134">
        <v>139.19999999999999</v>
      </c>
      <c r="J134">
        <v>149.5</v>
      </c>
      <c r="K134">
        <v>170.4</v>
      </c>
      <c r="L134">
        <v>113.1</v>
      </c>
      <c r="M134">
        <v>135.80000000000001</v>
      </c>
      <c r="N134">
        <v>128.80000000000001</v>
      </c>
      <c r="O134">
        <v>141.5</v>
      </c>
      <c r="P134">
        <v>137.19999999999999</v>
      </c>
      <c r="Q134">
        <v>139.9</v>
      </c>
      <c r="R134">
        <v>138.5</v>
      </c>
      <c r="S134">
        <v>133.5</v>
      </c>
      <c r="T134">
        <v>137.80000000000001</v>
      </c>
      <c r="U134" t="s">
        <v>32</v>
      </c>
      <c r="V134">
        <v>129.69999999999999</v>
      </c>
      <c r="W134">
        <v>131.1</v>
      </c>
      <c r="X134">
        <v>127.8</v>
      </c>
      <c r="Y134">
        <v>117</v>
      </c>
      <c r="Z134">
        <v>125.7</v>
      </c>
      <c r="AA134">
        <v>132.19999999999999</v>
      </c>
      <c r="AB134">
        <v>122.8</v>
      </c>
      <c r="AC134">
        <v>124.9</v>
      </c>
      <c r="AD134">
        <v>133.4</v>
      </c>
    </row>
    <row r="135" spans="1:30" hidden="1" x14ac:dyDescent="0.3">
      <c r="A135" t="s">
        <v>33</v>
      </c>
      <c r="B135">
        <v>2016</v>
      </c>
      <c r="C135" t="s">
        <v>42</v>
      </c>
      <c r="D135">
        <v>128.1</v>
      </c>
      <c r="E135">
        <v>137.69999999999999</v>
      </c>
      <c r="F135">
        <v>130.6</v>
      </c>
      <c r="G135">
        <v>132.6</v>
      </c>
      <c r="H135">
        <v>111.9</v>
      </c>
      <c r="I135">
        <v>132.5</v>
      </c>
      <c r="J135">
        <v>152.9</v>
      </c>
      <c r="K135">
        <v>173.6</v>
      </c>
      <c r="L135">
        <v>115.1</v>
      </c>
      <c r="M135">
        <v>144.80000000000001</v>
      </c>
      <c r="N135">
        <v>122.1</v>
      </c>
      <c r="O135">
        <v>138.80000000000001</v>
      </c>
      <c r="P135">
        <v>135.69999999999999</v>
      </c>
      <c r="Q135">
        <v>143.9</v>
      </c>
      <c r="R135">
        <v>128.69999999999999</v>
      </c>
      <c r="S135">
        <v>121.6</v>
      </c>
      <c r="T135">
        <v>127.7</v>
      </c>
      <c r="U135">
        <v>127.9</v>
      </c>
      <c r="V135">
        <v>114.8</v>
      </c>
      <c r="W135">
        <v>124.3</v>
      </c>
      <c r="X135">
        <v>121.4</v>
      </c>
      <c r="Y135">
        <v>111.8</v>
      </c>
      <c r="Z135">
        <v>120.8</v>
      </c>
      <c r="AA135">
        <v>131.6</v>
      </c>
      <c r="AB135">
        <v>121.2</v>
      </c>
      <c r="AC135">
        <v>120.5</v>
      </c>
      <c r="AD135">
        <v>128</v>
      </c>
    </row>
    <row r="136" spans="1:30" hidden="1" x14ac:dyDescent="0.3">
      <c r="A136" t="s">
        <v>34</v>
      </c>
      <c r="B136">
        <v>2016</v>
      </c>
      <c r="C136" t="s">
        <v>42</v>
      </c>
      <c r="D136">
        <v>129.9</v>
      </c>
      <c r="E136">
        <v>138</v>
      </c>
      <c r="F136">
        <v>130.5</v>
      </c>
      <c r="G136">
        <v>134.4</v>
      </c>
      <c r="H136">
        <v>117.2</v>
      </c>
      <c r="I136">
        <v>136.1</v>
      </c>
      <c r="J136">
        <v>150.69999999999999</v>
      </c>
      <c r="K136">
        <v>171.5</v>
      </c>
      <c r="L136">
        <v>113.8</v>
      </c>
      <c r="M136">
        <v>138.80000000000001</v>
      </c>
      <c r="N136">
        <v>126</v>
      </c>
      <c r="O136">
        <v>140.19999999999999</v>
      </c>
      <c r="P136">
        <v>136.6</v>
      </c>
      <c r="Q136">
        <v>141</v>
      </c>
      <c r="R136">
        <v>134.6</v>
      </c>
      <c r="S136">
        <v>128.6</v>
      </c>
      <c r="T136">
        <v>133.80000000000001</v>
      </c>
      <c r="U136">
        <v>127.9</v>
      </c>
      <c r="V136">
        <v>124.1</v>
      </c>
      <c r="W136">
        <v>127.9</v>
      </c>
      <c r="X136">
        <v>125.4</v>
      </c>
      <c r="Y136">
        <v>114.3</v>
      </c>
      <c r="Z136">
        <v>122.9</v>
      </c>
      <c r="AA136">
        <v>131.80000000000001</v>
      </c>
      <c r="AB136">
        <v>122.1</v>
      </c>
      <c r="AC136">
        <v>122.8</v>
      </c>
      <c r="AD136">
        <v>130.9</v>
      </c>
    </row>
    <row r="137" spans="1:30" hidden="1" x14ac:dyDescent="0.3">
      <c r="A137" t="s">
        <v>30</v>
      </c>
      <c r="B137">
        <v>2016</v>
      </c>
      <c r="C137" t="s">
        <v>43</v>
      </c>
      <c r="D137">
        <v>131.30000000000001</v>
      </c>
      <c r="E137">
        <v>137.6</v>
      </c>
      <c r="F137">
        <v>130.1</v>
      </c>
      <c r="G137">
        <v>136</v>
      </c>
      <c r="H137">
        <v>120.8</v>
      </c>
      <c r="I137">
        <v>138.4</v>
      </c>
      <c r="J137">
        <v>149.19999999999999</v>
      </c>
      <c r="K137">
        <v>170.2</v>
      </c>
      <c r="L137">
        <v>113.4</v>
      </c>
      <c r="M137">
        <v>136.30000000000001</v>
      </c>
      <c r="N137">
        <v>128.69999999999999</v>
      </c>
      <c r="O137">
        <v>142.4</v>
      </c>
      <c r="P137">
        <v>137.4</v>
      </c>
      <c r="Q137">
        <v>140.9</v>
      </c>
      <c r="R137">
        <v>139.6</v>
      </c>
      <c r="S137">
        <v>134.30000000000001</v>
      </c>
      <c r="T137">
        <v>138.80000000000001</v>
      </c>
      <c r="U137" t="s">
        <v>32</v>
      </c>
      <c r="V137">
        <v>129.80000000000001</v>
      </c>
      <c r="W137">
        <v>131.80000000000001</v>
      </c>
      <c r="X137">
        <v>128.69999999999999</v>
      </c>
      <c r="Y137">
        <v>117.8</v>
      </c>
      <c r="Z137">
        <v>126.5</v>
      </c>
      <c r="AA137">
        <v>133</v>
      </c>
      <c r="AB137">
        <v>123</v>
      </c>
      <c r="AC137">
        <v>125.7</v>
      </c>
      <c r="AD137">
        <v>133.80000000000001</v>
      </c>
    </row>
    <row r="138" spans="1:30" hidden="1" x14ac:dyDescent="0.3">
      <c r="A138" t="s">
        <v>33</v>
      </c>
      <c r="B138">
        <v>2016</v>
      </c>
      <c r="C138" t="s">
        <v>43</v>
      </c>
      <c r="D138">
        <v>128.69999999999999</v>
      </c>
      <c r="E138">
        <v>138.4</v>
      </c>
      <c r="F138">
        <v>130.30000000000001</v>
      </c>
      <c r="G138">
        <v>132.69999999999999</v>
      </c>
      <c r="H138">
        <v>112.5</v>
      </c>
      <c r="I138">
        <v>130.4</v>
      </c>
      <c r="J138">
        <v>155.1</v>
      </c>
      <c r="K138">
        <v>175.7</v>
      </c>
      <c r="L138">
        <v>115.4</v>
      </c>
      <c r="M138">
        <v>145.30000000000001</v>
      </c>
      <c r="N138">
        <v>122.5</v>
      </c>
      <c r="O138">
        <v>139.6</v>
      </c>
      <c r="P138">
        <v>136.30000000000001</v>
      </c>
      <c r="Q138">
        <v>144.30000000000001</v>
      </c>
      <c r="R138">
        <v>129.1</v>
      </c>
      <c r="S138">
        <v>121.9</v>
      </c>
      <c r="T138">
        <v>128</v>
      </c>
      <c r="U138">
        <v>128.69999999999999</v>
      </c>
      <c r="V138">
        <v>115.2</v>
      </c>
      <c r="W138">
        <v>124.5</v>
      </c>
      <c r="X138">
        <v>121.8</v>
      </c>
      <c r="Y138">
        <v>112.8</v>
      </c>
      <c r="Z138">
        <v>121.2</v>
      </c>
      <c r="AA138">
        <v>131.9</v>
      </c>
      <c r="AB138">
        <v>120.8</v>
      </c>
      <c r="AC138">
        <v>120.9</v>
      </c>
      <c r="AD138">
        <v>128.6</v>
      </c>
    </row>
    <row r="139" spans="1:30" hidden="1" x14ac:dyDescent="0.3">
      <c r="A139" t="s">
        <v>34</v>
      </c>
      <c r="B139">
        <v>2016</v>
      </c>
      <c r="C139" t="s">
        <v>43</v>
      </c>
      <c r="D139">
        <v>130.5</v>
      </c>
      <c r="E139">
        <v>137.9</v>
      </c>
      <c r="F139">
        <v>130.19999999999999</v>
      </c>
      <c r="G139">
        <v>134.80000000000001</v>
      </c>
      <c r="H139">
        <v>117.8</v>
      </c>
      <c r="I139">
        <v>134.69999999999999</v>
      </c>
      <c r="J139">
        <v>151.19999999999999</v>
      </c>
      <c r="K139">
        <v>172.1</v>
      </c>
      <c r="L139">
        <v>114.1</v>
      </c>
      <c r="M139">
        <v>139.30000000000001</v>
      </c>
      <c r="N139">
        <v>126.1</v>
      </c>
      <c r="O139">
        <v>141.1</v>
      </c>
      <c r="P139">
        <v>137</v>
      </c>
      <c r="Q139">
        <v>141.80000000000001</v>
      </c>
      <c r="R139">
        <v>135.5</v>
      </c>
      <c r="S139">
        <v>129.1</v>
      </c>
      <c r="T139">
        <v>134.5</v>
      </c>
      <c r="U139">
        <v>128.69999999999999</v>
      </c>
      <c r="V139">
        <v>124.3</v>
      </c>
      <c r="W139">
        <v>128.4</v>
      </c>
      <c r="X139">
        <v>126.1</v>
      </c>
      <c r="Y139">
        <v>115.2</v>
      </c>
      <c r="Z139">
        <v>123.5</v>
      </c>
      <c r="AA139">
        <v>132.4</v>
      </c>
      <c r="AB139">
        <v>122.1</v>
      </c>
      <c r="AC139">
        <v>123.4</v>
      </c>
      <c r="AD139">
        <v>131.4</v>
      </c>
    </row>
    <row r="140" spans="1:30" hidden="1" x14ac:dyDescent="0.3">
      <c r="A140" t="s">
        <v>30</v>
      </c>
      <c r="B140">
        <v>2016</v>
      </c>
      <c r="C140" t="s">
        <v>45</v>
      </c>
      <c r="D140">
        <v>132</v>
      </c>
      <c r="E140">
        <v>137.4</v>
      </c>
      <c r="F140">
        <v>130.6</v>
      </c>
      <c r="G140">
        <v>136.19999999999999</v>
      </c>
      <c r="H140">
        <v>121.1</v>
      </c>
      <c r="I140">
        <v>136.9</v>
      </c>
      <c r="J140">
        <v>141.80000000000001</v>
      </c>
      <c r="K140">
        <v>170</v>
      </c>
      <c r="L140">
        <v>113.4</v>
      </c>
      <c r="M140">
        <v>136.80000000000001</v>
      </c>
      <c r="N140">
        <v>128.69999999999999</v>
      </c>
      <c r="O140">
        <v>143.1</v>
      </c>
      <c r="P140">
        <v>136.6</v>
      </c>
      <c r="Q140">
        <v>141.19999999999999</v>
      </c>
      <c r="R140">
        <v>139.9</v>
      </c>
      <c r="S140">
        <v>134.5</v>
      </c>
      <c r="T140">
        <v>139.19999999999999</v>
      </c>
      <c r="U140" t="s">
        <v>32</v>
      </c>
      <c r="V140">
        <v>130.30000000000001</v>
      </c>
      <c r="W140">
        <v>132.1</v>
      </c>
      <c r="X140">
        <v>129.1</v>
      </c>
      <c r="Y140">
        <v>118.2</v>
      </c>
      <c r="Z140">
        <v>126.9</v>
      </c>
      <c r="AA140">
        <v>133.69999999999999</v>
      </c>
      <c r="AB140">
        <v>123.5</v>
      </c>
      <c r="AC140">
        <v>126.1</v>
      </c>
      <c r="AD140">
        <v>133.6</v>
      </c>
    </row>
    <row r="141" spans="1:30" hidden="1" x14ac:dyDescent="0.3">
      <c r="A141" t="s">
        <v>33</v>
      </c>
      <c r="B141">
        <v>2016</v>
      </c>
      <c r="C141" t="s">
        <v>45</v>
      </c>
      <c r="D141">
        <v>130.19999999999999</v>
      </c>
      <c r="E141">
        <v>138.5</v>
      </c>
      <c r="F141">
        <v>134.1</v>
      </c>
      <c r="G141">
        <v>132.9</v>
      </c>
      <c r="H141">
        <v>112.6</v>
      </c>
      <c r="I141">
        <v>130.80000000000001</v>
      </c>
      <c r="J141">
        <v>142</v>
      </c>
      <c r="K141">
        <v>174.9</v>
      </c>
      <c r="L141">
        <v>115.6</v>
      </c>
      <c r="M141">
        <v>145.4</v>
      </c>
      <c r="N141">
        <v>122.7</v>
      </c>
      <c r="O141">
        <v>140.30000000000001</v>
      </c>
      <c r="P141">
        <v>135.19999999999999</v>
      </c>
      <c r="Q141">
        <v>144.30000000000001</v>
      </c>
      <c r="R141">
        <v>129.6</v>
      </c>
      <c r="S141">
        <v>122.1</v>
      </c>
      <c r="T141">
        <v>128.5</v>
      </c>
      <c r="U141">
        <v>129.1</v>
      </c>
      <c r="V141">
        <v>116.2</v>
      </c>
      <c r="W141">
        <v>124.7</v>
      </c>
      <c r="X141">
        <v>122.1</v>
      </c>
      <c r="Y141">
        <v>113.4</v>
      </c>
      <c r="Z141">
        <v>121.7</v>
      </c>
      <c r="AA141">
        <v>132.1</v>
      </c>
      <c r="AB141">
        <v>121.3</v>
      </c>
      <c r="AC141">
        <v>121.3</v>
      </c>
      <c r="AD141">
        <v>128.5</v>
      </c>
    </row>
    <row r="142" spans="1:30" hidden="1" x14ac:dyDescent="0.3">
      <c r="A142" t="s">
        <v>34</v>
      </c>
      <c r="B142">
        <v>2016</v>
      </c>
      <c r="C142" t="s">
        <v>45</v>
      </c>
      <c r="D142">
        <v>131.4</v>
      </c>
      <c r="E142">
        <v>137.80000000000001</v>
      </c>
      <c r="F142">
        <v>132</v>
      </c>
      <c r="G142">
        <v>135</v>
      </c>
      <c r="H142">
        <v>118</v>
      </c>
      <c r="I142">
        <v>134.1</v>
      </c>
      <c r="J142">
        <v>141.9</v>
      </c>
      <c r="K142">
        <v>171.7</v>
      </c>
      <c r="L142">
        <v>114.1</v>
      </c>
      <c r="M142">
        <v>139.69999999999999</v>
      </c>
      <c r="N142">
        <v>126.2</v>
      </c>
      <c r="O142">
        <v>141.80000000000001</v>
      </c>
      <c r="P142">
        <v>136.1</v>
      </c>
      <c r="Q142">
        <v>142</v>
      </c>
      <c r="R142">
        <v>135.80000000000001</v>
      </c>
      <c r="S142">
        <v>129.30000000000001</v>
      </c>
      <c r="T142">
        <v>135</v>
      </c>
      <c r="U142">
        <v>129.1</v>
      </c>
      <c r="V142">
        <v>125</v>
      </c>
      <c r="W142">
        <v>128.6</v>
      </c>
      <c r="X142">
        <v>126.4</v>
      </c>
      <c r="Y142">
        <v>115.7</v>
      </c>
      <c r="Z142">
        <v>124</v>
      </c>
      <c r="AA142">
        <v>132.80000000000001</v>
      </c>
      <c r="AB142">
        <v>122.6</v>
      </c>
      <c r="AC142">
        <v>123.8</v>
      </c>
      <c r="AD142">
        <v>131.19999999999999</v>
      </c>
    </row>
    <row r="143" spans="1:30" hidden="1" x14ac:dyDescent="0.3">
      <c r="A143" t="s">
        <v>30</v>
      </c>
      <c r="B143">
        <v>2016</v>
      </c>
      <c r="C143" t="s">
        <v>46</v>
      </c>
      <c r="D143">
        <v>132.6</v>
      </c>
      <c r="E143">
        <v>137.30000000000001</v>
      </c>
      <c r="F143">
        <v>131.6</v>
      </c>
      <c r="G143">
        <v>136.30000000000001</v>
      </c>
      <c r="H143">
        <v>121.6</v>
      </c>
      <c r="I143">
        <v>135.6</v>
      </c>
      <c r="J143">
        <v>127.5</v>
      </c>
      <c r="K143">
        <v>167.9</v>
      </c>
      <c r="L143">
        <v>113.8</v>
      </c>
      <c r="M143">
        <v>137.5</v>
      </c>
      <c r="N143">
        <v>129.1</v>
      </c>
      <c r="O143">
        <v>143.6</v>
      </c>
      <c r="P143">
        <v>134.69999999999999</v>
      </c>
      <c r="Q143">
        <v>142.4</v>
      </c>
      <c r="R143">
        <v>140.4</v>
      </c>
      <c r="S143">
        <v>135.19999999999999</v>
      </c>
      <c r="T143">
        <v>139.69999999999999</v>
      </c>
      <c r="U143" t="s">
        <v>32</v>
      </c>
      <c r="V143">
        <v>132</v>
      </c>
      <c r="W143">
        <v>132.9</v>
      </c>
      <c r="X143">
        <v>129.69999999999999</v>
      </c>
      <c r="Y143">
        <v>118.6</v>
      </c>
      <c r="Z143">
        <v>127.3</v>
      </c>
      <c r="AA143">
        <v>134.19999999999999</v>
      </c>
      <c r="AB143">
        <v>121.9</v>
      </c>
      <c r="AC143">
        <v>126.3</v>
      </c>
      <c r="AD143">
        <v>132.80000000000001</v>
      </c>
    </row>
    <row r="144" spans="1:30" hidden="1" x14ac:dyDescent="0.3">
      <c r="A144" t="s">
        <v>33</v>
      </c>
      <c r="B144">
        <v>2016</v>
      </c>
      <c r="C144" t="s">
        <v>46</v>
      </c>
      <c r="D144">
        <v>131.6</v>
      </c>
      <c r="E144">
        <v>138.19999999999999</v>
      </c>
      <c r="F144">
        <v>134.9</v>
      </c>
      <c r="G144">
        <v>133.1</v>
      </c>
      <c r="H144">
        <v>113.5</v>
      </c>
      <c r="I144">
        <v>129.30000000000001</v>
      </c>
      <c r="J144">
        <v>121.1</v>
      </c>
      <c r="K144">
        <v>170.3</v>
      </c>
      <c r="L144">
        <v>115.5</v>
      </c>
      <c r="M144">
        <v>145.5</v>
      </c>
      <c r="N144">
        <v>123.1</v>
      </c>
      <c r="O144">
        <v>140.9</v>
      </c>
      <c r="P144">
        <v>132.80000000000001</v>
      </c>
      <c r="Q144">
        <v>145</v>
      </c>
      <c r="R144">
        <v>130</v>
      </c>
      <c r="S144">
        <v>122.2</v>
      </c>
      <c r="T144">
        <v>128.80000000000001</v>
      </c>
      <c r="U144">
        <v>128.5</v>
      </c>
      <c r="V144">
        <v>117.8</v>
      </c>
      <c r="W144">
        <v>125</v>
      </c>
      <c r="X144">
        <v>122.3</v>
      </c>
      <c r="Y144">
        <v>113.7</v>
      </c>
      <c r="Z144">
        <v>121.8</v>
      </c>
      <c r="AA144">
        <v>132.30000000000001</v>
      </c>
      <c r="AB144">
        <v>119.9</v>
      </c>
      <c r="AC144">
        <v>121.4</v>
      </c>
      <c r="AD144">
        <v>127.6</v>
      </c>
    </row>
    <row r="145" spans="1:30" hidden="1" x14ac:dyDescent="0.3">
      <c r="A145" t="s">
        <v>34</v>
      </c>
      <c r="B145">
        <v>2016</v>
      </c>
      <c r="C145" t="s">
        <v>46</v>
      </c>
      <c r="D145">
        <v>132.30000000000001</v>
      </c>
      <c r="E145">
        <v>137.6</v>
      </c>
      <c r="F145">
        <v>132.9</v>
      </c>
      <c r="G145">
        <v>135.1</v>
      </c>
      <c r="H145">
        <v>118.6</v>
      </c>
      <c r="I145">
        <v>132.69999999999999</v>
      </c>
      <c r="J145">
        <v>125.3</v>
      </c>
      <c r="K145">
        <v>168.7</v>
      </c>
      <c r="L145">
        <v>114.4</v>
      </c>
      <c r="M145">
        <v>140.19999999999999</v>
      </c>
      <c r="N145">
        <v>126.6</v>
      </c>
      <c r="O145">
        <v>142.30000000000001</v>
      </c>
      <c r="P145">
        <v>134</v>
      </c>
      <c r="Q145">
        <v>143.1</v>
      </c>
      <c r="R145">
        <v>136.30000000000001</v>
      </c>
      <c r="S145">
        <v>129.80000000000001</v>
      </c>
      <c r="T145">
        <v>135.4</v>
      </c>
      <c r="U145">
        <v>128.5</v>
      </c>
      <c r="V145">
        <v>126.6</v>
      </c>
      <c r="W145">
        <v>129.19999999999999</v>
      </c>
      <c r="X145">
        <v>126.9</v>
      </c>
      <c r="Y145">
        <v>116</v>
      </c>
      <c r="Z145">
        <v>124.2</v>
      </c>
      <c r="AA145">
        <v>133.1</v>
      </c>
      <c r="AB145">
        <v>121.1</v>
      </c>
      <c r="AC145">
        <v>123.9</v>
      </c>
      <c r="AD145">
        <v>130.4</v>
      </c>
    </row>
    <row r="146" spans="1:30" hidden="1" x14ac:dyDescent="0.3">
      <c r="A146" t="s">
        <v>30</v>
      </c>
      <c r="B146">
        <v>2017</v>
      </c>
      <c r="C146" t="s">
        <v>31</v>
      </c>
      <c r="D146">
        <v>133.1</v>
      </c>
      <c r="E146">
        <v>137.80000000000001</v>
      </c>
      <c r="F146">
        <v>131.9</v>
      </c>
      <c r="G146">
        <v>136.69999999999999</v>
      </c>
      <c r="H146">
        <v>122</v>
      </c>
      <c r="I146">
        <v>136</v>
      </c>
      <c r="J146">
        <v>119.8</v>
      </c>
      <c r="K146">
        <v>161.69999999999999</v>
      </c>
      <c r="L146">
        <v>114.8</v>
      </c>
      <c r="M146">
        <v>136.9</v>
      </c>
      <c r="N146">
        <v>129</v>
      </c>
      <c r="O146">
        <v>143.9</v>
      </c>
      <c r="P146">
        <v>133.69999999999999</v>
      </c>
      <c r="Q146">
        <v>143.1</v>
      </c>
      <c r="R146">
        <v>140.69999999999999</v>
      </c>
      <c r="S146">
        <v>135.80000000000001</v>
      </c>
      <c r="T146">
        <v>140</v>
      </c>
      <c r="U146" t="s">
        <v>32</v>
      </c>
      <c r="V146">
        <v>132.1</v>
      </c>
      <c r="W146">
        <v>133.19999999999999</v>
      </c>
      <c r="X146">
        <v>129.9</v>
      </c>
      <c r="Y146">
        <v>119.1</v>
      </c>
      <c r="Z146">
        <v>127</v>
      </c>
      <c r="AA146">
        <v>134.6</v>
      </c>
      <c r="AB146">
        <v>122.3</v>
      </c>
      <c r="AC146">
        <v>126.6</v>
      </c>
      <c r="AD146">
        <v>132.4</v>
      </c>
    </row>
    <row r="147" spans="1:30" hidden="1" x14ac:dyDescent="0.3">
      <c r="A147" t="s">
        <v>33</v>
      </c>
      <c r="B147">
        <v>2017</v>
      </c>
      <c r="C147" t="s">
        <v>31</v>
      </c>
      <c r="D147">
        <v>132.19999999999999</v>
      </c>
      <c r="E147">
        <v>138.9</v>
      </c>
      <c r="F147">
        <v>132.6</v>
      </c>
      <c r="G147">
        <v>133.1</v>
      </c>
      <c r="H147">
        <v>114</v>
      </c>
      <c r="I147">
        <v>129.6</v>
      </c>
      <c r="J147">
        <v>118.7</v>
      </c>
      <c r="K147">
        <v>155.1</v>
      </c>
      <c r="L147">
        <v>117.3</v>
      </c>
      <c r="M147">
        <v>144.9</v>
      </c>
      <c r="N147">
        <v>123.2</v>
      </c>
      <c r="O147">
        <v>141.6</v>
      </c>
      <c r="P147">
        <v>132</v>
      </c>
      <c r="Q147">
        <v>145.6</v>
      </c>
      <c r="R147">
        <v>130.19999999999999</v>
      </c>
      <c r="S147">
        <v>122.3</v>
      </c>
      <c r="T147">
        <v>129</v>
      </c>
      <c r="U147">
        <v>129.6</v>
      </c>
      <c r="V147">
        <v>118</v>
      </c>
      <c r="W147">
        <v>125.1</v>
      </c>
      <c r="X147">
        <v>122.6</v>
      </c>
      <c r="Y147">
        <v>115.2</v>
      </c>
      <c r="Z147">
        <v>122</v>
      </c>
      <c r="AA147">
        <v>132.4</v>
      </c>
      <c r="AB147">
        <v>120.9</v>
      </c>
      <c r="AC147">
        <v>122.1</v>
      </c>
      <c r="AD147">
        <v>127.8</v>
      </c>
    </row>
    <row r="148" spans="1:30" hidden="1" x14ac:dyDescent="0.3">
      <c r="A148" t="s">
        <v>34</v>
      </c>
      <c r="B148">
        <v>2017</v>
      </c>
      <c r="C148" t="s">
        <v>31</v>
      </c>
      <c r="D148">
        <v>132.80000000000001</v>
      </c>
      <c r="E148">
        <v>138.19999999999999</v>
      </c>
      <c r="F148">
        <v>132.19999999999999</v>
      </c>
      <c r="G148">
        <v>135.4</v>
      </c>
      <c r="H148">
        <v>119.1</v>
      </c>
      <c r="I148">
        <v>133</v>
      </c>
      <c r="J148">
        <v>119.4</v>
      </c>
      <c r="K148">
        <v>159.5</v>
      </c>
      <c r="L148">
        <v>115.6</v>
      </c>
      <c r="M148">
        <v>139.6</v>
      </c>
      <c r="N148">
        <v>126.6</v>
      </c>
      <c r="O148">
        <v>142.80000000000001</v>
      </c>
      <c r="P148">
        <v>133.1</v>
      </c>
      <c r="Q148">
        <v>143.80000000000001</v>
      </c>
      <c r="R148">
        <v>136.6</v>
      </c>
      <c r="S148">
        <v>130.19999999999999</v>
      </c>
      <c r="T148">
        <v>135.6</v>
      </c>
      <c r="U148">
        <v>129.6</v>
      </c>
      <c r="V148">
        <v>126.8</v>
      </c>
      <c r="W148">
        <v>129.4</v>
      </c>
      <c r="X148">
        <v>127.1</v>
      </c>
      <c r="Y148">
        <v>117</v>
      </c>
      <c r="Z148">
        <v>124.2</v>
      </c>
      <c r="AA148">
        <v>133.30000000000001</v>
      </c>
      <c r="AB148">
        <v>121.7</v>
      </c>
      <c r="AC148">
        <v>124.4</v>
      </c>
      <c r="AD148">
        <v>130.30000000000001</v>
      </c>
    </row>
    <row r="149" spans="1:30" hidden="1" x14ac:dyDescent="0.3">
      <c r="A149" t="s">
        <v>30</v>
      </c>
      <c r="B149">
        <v>2017</v>
      </c>
      <c r="C149" t="s">
        <v>35</v>
      </c>
      <c r="D149">
        <v>133.30000000000001</v>
      </c>
      <c r="E149">
        <v>138.30000000000001</v>
      </c>
      <c r="F149">
        <v>129.30000000000001</v>
      </c>
      <c r="G149">
        <v>137.19999999999999</v>
      </c>
      <c r="H149">
        <v>122.1</v>
      </c>
      <c r="I149">
        <v>138.69999999999999</v>
      </c>
      <c r="J149">
        <v>119.1</v>
      </c>
      <c r="K149">
        <v>156.9</v>
      </c>
      <c r="L149">
        <v>116.2</v>
      </c>
      <c r="M149">
        <v>136</v>
      </c>
      <c r="N149">
        <v>129.4</v>
      </c>
      <c r="O149">
        <v>144.4</v>
      </c>
      <c r="P149">
        <v>133.6</v>
      </c>
      <c r="Q149">
        <v>143.69999999999999</v>
      </c>
      <c r="R149">
        <v>140.9</v>
      </c>
      <c r="S149">
        <v>135.80000000000001</v>
      </c>
      <c r="T149">
        <v>140.19999999999999</v>
      </c>
      <c r="U149" t="s">
        <v>32</v>
      </c>
      <c r="V149">
        <v>133.19999999999999</v>
      </c>
      <c r="W149">
        <v>133.6</v>
      </c>
      <c r="X149">
        <v>130.1</v>
      </c>
      <c r="Y149">
        <v>119.5</v>
      </c>
      <c r="Z149">
        <v>127.7</v>
      </c>
      <c r="AA149">
        <v>134.9</v>
      </c>
      <c r="AB149">
        <v>123.2</v>
      </c>
      <c r="AC149">
        <v>127</v>
      </c>
      <c r="AD149">
        <v>132.6</v>
      </c>
    </row>
    <row r="150" spans="1:30" hidden="1" x14ac:dyDescent="0.3">
      <c r="A150" t="s">
        <v>33</v>
      </c>
      <c r="B150">
        <v>2017</v>
      </c>
      <c r="C150" t="s">
        <v>35</v>
      </c>
      <c r="D150">
        <v>132.80000000000001</v>
      </c>
      <c r="E150">
        <v>139.80000000000001</v>
      </c>
      <c r="F150">
        <v>129.30000000000001</v>
      </c>
      <c r="G150">
        <v>133.5</v>
      </c>
      <c r="H150">
        <v>114.3</v>
      </c>
      <c r="I150">
        <v>131.4</v>
      </c>
      <c r="J150">
        <v>120.2</v>
      </c>
      <c r="K150">
        <v>143.1</v>
      </c>
      <c r="L150">
        <v>119.5</v>
      </c>
      <c r="M150">
        <v>144</v>
      </c>
      <c r="N150">
        <v>123.4</v>
      </c>
      <c r="O150">
        <v>141.9</v>
      </c>
      <c r="P150">
        <v>132.1</v>
      </c>
      <c r="Q150">
        <v>146.30000000000001</v>
      </c>
      <c r="R150">
        <v>130.5</v>
      </c>
      <c r="S150">
        <v>122.5</v>
      </c>
      <c r="T150">
        <v>129.30000000000001</v>
      </c>
      <c r="U150">
        <v>130.5</v>
      </c>
      <c r="V150">
        <v>119.2</v>
      </c>
      <c r="W150">
        <v>125.3</v>
      </c>
      <c r="X150">
        <v>122.9</v>
      </c>
      <c r="Y150">
        <v>115.5</v>
      </c>
      <c r="Z150">
        <v>122.2</v>
      </c>
      <c r="AA150">
        <v>132.4</v>
      </c>
      <c r="AB150">
        <v>121.7</v>
      </c>
      <c r="AC150">
        <v>122.4</v>
      </c>
      <c r="AD150">
        <v>128.19999999999999</v>
      </c>
    </row>
    <row r="151" spans="1:30" hidden="1" x14ac:dyDescent="0.3">
      <c r="A151" t="s">
        <v>34</v>
      </c>
      <c r="B151">
        <v>2017</v>
      </c>
      <c r="C151" t="s">
        <v>35</v>
      </c>
      <c r="D151">
        <v>133.1</v>
      </c>
      <c r="E151">
        <v>138.80000000000001</v>
      </c>
      <c r="F151">
        <v>129.30000000000001</v>
      </c>
      <c r="G151">
        <v>135.80000000000001</v>
      </c>
      <c r="H151">
        <v>119.2</v>
      </c>
      <c r="I151">
        <v>135.30000000000001</v>
      </c>
      <c r="J151">
        <v>119.5</v>
      </c>
      <c r="K151">
        <v>152.19999999999999</v>
      </c>
      <c r="L151">
        <v>117.3</v>
      </c>
      <c r="M151">
        <v>138.69999999999999</v>
      </c>
      <c r="N151">
        <v>126.9</v>
      </c>
      <c r="O151">
        <v>143.19999999999999</v>
      </c>
      <c r="P151">
        <v>133</v>
      </c>
      <c r="Q151">
        <v>144.4</v>
      </c>
      <c r="R151">
        <v>136.80000000000001</v>
      </c>
      <c r="S151">
        <v>130.30000000000001</v>
      </c>
      <c r="T151">
        <v>135.9</v>
      </c>
      <c r="U151">
        <v>130.5</v>
      </c>
      <c r="V151">
        <v>127.9</v>
      </c>
      <c r="W151">
        <v>129.69999999999999</v>
      </c>
      <c r="X151">
        <v>127.4</v>
      </c>
      <c r="Y151">
        <v>117.4</v>
      </c>
      <c r="Z151">
        <v>124.6</v>
      </c>
      <c r="AA151">
        <v>133.4</v>
      </c>
      <c r="AB151">
        <v>122.6</v>
      </c>
      <c r="AC151">
        <v>124.8</v>
      </c>
      <c r="AD151">
        <v>130.6</v>
      </c>
    </row>
    <row r="152" spans="1:30" hidden="1" x14ac:dyDescent="0.3">
      <c r="A152" t="s">
        <v>30</v>
      </c>
      <c r="B152">
        <v>2017</v>
      </c>
      <c r="C152" t="s">
        <v>36</v>
      </c>
      <c r="D152">
        <v>133.6</v>
      </c>
      <c r="E152">
        <v>138.80000000000001</v>
      </c>
      <c r="F152">
        <v>128.80000000000001</v>
      </c>
      <c r="G152">
        <v>137.19999999999999</v>
      </c>
      <c r="H152">
        <v>121.6</v>
      </c>
      <c r="I152">
        <v>139.69999999999999</v>
      </c>
      <c r="J152">
        <v>119.7</v>
      </c>
      <c r="K152">
        <v>148</v>
      </c>
      <c r="L152">
        <v>116.9</v>
      </c>
      <c r="M152">
        <v>135.6</v>
      </c>
      <c r="N152">
        <v>129.80000000000001</v>
      </c>
      <c r="O152">
        <v>145.4</v>
      </c>
      <c r="P152">
        <v>133.4</v>
      </c>
      <c r="Q152">
        <v>144.19999999999999</v>
      </c>
      <c r="R152">
        <v>141.6</v>
      </c>
      <c r="S152">
        <v>136.19999999999999</v>
      </c>
      <c r="T152">
        <v>140.80000000000001</v>
      </c>
      <c r="U152" t="s">
        <v>32</v>
      </c>
      <c r="V152">
        <v>134.19999999999999</v>
      </c>
      <c r="W152">
        <v>134.1</v>
      </c>
      <c r="X152">
        <v>130.6</v>
      </c>
      <c r="Y152">
        <v>119.8</v>
      </c>
      <c r="Z152">
        <v>128.30000000000001</v>
      </c>
      <c r="AA152">
        <v>135.19999999999999</v>
      </c>
      <c r="AB152">
        <v>123.3</v>
      </c>
      <c r="AC152">
        <v>127.4</v>
      </c>
      <c r="AD152">
        <v>132.80000000000001</v>
      </c>
    </row>
    <row r="153" spans="1:30" hidden="1" x14ac:dyDescent="0.3">
      <c r="A153" t="s">
        <v>33</v>
      </c>
      <c r="B153">
        <v>2017</v>
      </c>
      <c r="C153" t="s">
        <v>36</v>
      </c>
      <c r="D153">
        <v>132.69999999999999</v>
      </c>
      <c r="E153">
        <v>139.4</v>
      </c>
      <c r="F153">
        <v>128.4</v>
      </c>
      <c r="G153">
        <v>134.9</v>
      </c>
      <c r="H153">
        <v>114</v>
      </c>
      <c r="I153">
        <v>136.80000000000001</v>
      </c>
      <c r="J153">
        <v>122.2</v>
      </c>
      <c r="K153">
        <v>135.80000000000001</v>
      </c>
      <c r="L153">
        <v>120.3</v>
      </c>
      <c r="M153">
        <v>142.6</v>
      </c>
      <c r="N153">
        <v>123.6</v>
      </c>
      <c r="O153">
        <v>142.4</v>
      </c>
      <c r="P153">
        <v>132.6</v>
      </c>
      <c r="Q153">
        <v>147.5</v>
      </c>
      <c r="R153">
        <v>130.80000000000001</v>
      </c>
      <c r="S153">
        <v>122.8</v>
      </c>
      <c r="T153">
        <v>129.6</v>
      </c>
      <c r="U153">
        <v>131.1</v>
      </c>
      <c r="V153">
        <v>120.8</v>
      </c>
      <c r="W153">
        <v>125.6</v>
      </c>
      <c r="X153">
        <v>123.1</v>
      </c>
      <c r="Y153">
        <v>115.6</v>
      </c>
      <c r="Z153">
        <v>122.4</v>
      </c>
      <c r="AA153">
        <v>132.80000000000001</v>
      </c>
      <c r="AB153">
        <v>121.7</v>
      </c>
      <c r="AC153">
        <v>122.6</v>
      </c>
      <c r="AD153">
        <v>128.69999999999999</v>
      </c>
    </row>
    <row r="154" spans="1:30" hidden="1" x14ac:dyDescent="0.3">
      <c r="A154" t="s">
        <v>34</v>
      </c>
      <c r="B154">
        <v>2017</v>
      </c>
      <c r="C154" t="s">
        <v>36</v>
      </c>
      <c r="D154">
        <v>133.30000000000001</v>
      </c>
      <c r="E154">
        <v>139</v>
      </c>
      <c r="F154">
        <v>128.6</v>
      </c>
      <c r="G154">
        <v>136.30000000000001</v>
      </c>
      <c r="H154">
        <v>118.8</v>
      </c>
      <c r="I154">
        <v>138.30000000000001</v>
      </c>
      <c r="J154">
        <v>120.5</v>
      </c>
      <c r="K154">
        <v>143.9</v>
      </c>
      <c r="L154">
        <v>118</v>
      </c>
      <c r="M154">
        <v>137.9</v>
      </c>
      <c r="N154">
        <v>127.2</v>
      </c>
      <c r="O154">
        <v>144</v>
      </c>
      <c r="P154">
        <v>133.1</v>
      </c>
      <c r="Q154">
        <v>145.1</v>
      </c>
      <c r="R154">
        <v>137.30000000000001</v>
      </c>
      <c r="S154">
        <v>130.6</v>
      </c>
      <c r="T154">
        <v>136.4</v>
      </c>
      <c r="U154">
        <v>131.1</v>
      </c>
      <c r="V154">
        <v>129.1</v>
      </c>
      <c r="W154">
        <v>130.1</v>
      </c>
      <c r="X154">
        <v>127.8</v>
      </c>
      <c r="Y154">
        <v>117.6</v>
      </c>
      <c r="Z154">
        <v>125</v>
      </c>
      <c r="AA154">
        <v>133.80000000000001</v>
      </c>
      <c r="AB154">
        <v>122.6</v>
      </c>
      <c r="AC154">
        <v>125.1</v>
      </c>
      <c r="AD154">
        <v>130.9</v>
      </c>
    </row>
    <row r="155" spans="1:30" hidden="1" x14ac:dyDescent="0.3">
      <c r="A155" t="s">
        <v>30</v>
      </c>
      <c r="B155">
        <v>2017</v>
      </c>
      <c r="C155" t="s">
        <v>37</v>
      </c>
      <c r="D155">
        <v>133.19999999999999</v>
      </c>
      <c r="E155">
        <v>138.69999999999999</v>
      </c>
      <c r="F155">
        <v>127.1</v>
      </c>
      <c r="G155">
        <v>137.69999999999999</v>
      </c>
      <c r="H155">
        <v>121.3</v>
      </c>
      <c r="I155">
        <v>141.80000000000001</v>
      </c>
      <c r="J155">
        <v>121.5</v>
      </c>
      <c r="K155">
        <v>144.5</v>
      </c>
      <c r="L155">
        <v>117.4</v>
      </c>
      <c r="M155">
        <v>134.1</v>
      </c>
      <c r="N155">
        <v>130</v>
      </c>
      <c r="O155">
        <v>145.5</v>
      </c>
      <c r="P155">
        <v>133.5</v>
      </c>
      <c r="Q155">
        <v>144.4</v>
      </c>
      <c r="R155">
        <v>142.4</v>
      </c>
      <c r="S155">
        <v>136.80000000000001</v>
      </c>
      <c r="T155">
        <v>141.6</v>
      </c>
      <c r="U155" t="s">
        <v>32</v>
      </c>
      <c r="V155">
        <v>135</v>
      </c>
      <c r="W155">
        <v>134.30000000000001</v>
      </c>
      <c r="X155">
        <v>131</v>
      </c>
      <c r="Y155">
        <v>119.2</v>
      </c>
      <c r="Z155">
        <v>128.30000000000001</v>
      </c>
      <c r="AA155">
        <v>135.69999999999999</v>
      </c>
      <c r="AB155">
        <v>123.7</v>
      </c>
      <c r="AC155">
        <v>127.5</v>
      </c>
      <c r="AD155">
        <v>132.9</v>
      </c>
    </row>
    <row r="156" spans="1:30" hidden="1" x14ac:dyDescent="0.3">
      <c r="A156" t="s">
        <v>33</v>
      </c>
      <c r="B156">
        <v>2017</v>
      </c>
      <c r="C156" t="s">
        <v>37</v>
      </c>
      <c r="D156">
        <v>132.69999999999999</v>
      </c>
      <c r="E156">
        <v>140.6</v>
      </c>
      <c r="F156">
        <v>124.5</v>
      </c>
      <c r="G156">
        <v>136.30000000000001</v>
      </c>
      <c r="H156">
        <v>113.5</v>
      </c>
      <c r="I156">
        <v>137.69999999999999</v>
      </c>
      <c r="J156">
        <v>127.1</v>
      </c>
      <c r="K156">
        <v>133.80000000000001</v>
      </c>
      <c r="L156">
        <v>120.8</v>
      </c>
      <c r="M156">
        <v>141.30000000000001</v>
      </c>
      <c r="N156">
        <v>123.8</v>
      </c>
      <c r="O156">
        <v>142.6</v>
      </c>
      <c r="P156">
        <v>133.4</v>
      </c>
      <c r="Q156">
        <v>148</v>
      </c>
      <c r="R156">
        <v>131.19999999999999</v>
      </c>
      <c r="S156">
        <v>123</v>
      </c>
      <c r="T156">
        <v>130</v>
      </c>
      <c r="U156">
        <v>131.69999999999999</v>
      </c>
      <c r="V156">
        <v>121.4</v>
      </c>
      <c r="W156">
        <v>126</v>
      </c>
      <c r="X156">
        <v>123.4</v>
      </c>
      <c r="Y156">
        <v>114.3</v>
      </c>
      <c r="Z156">
        <v>122.6</v>
      </c>
      <c r="AA156">
        <v>133.6</v>
      </c>
      <c r="AB156">
        <v>122.2</v>
      </c>
      <c r="AC156">
        <v>122.5</v>
      </c>
      <c r="AD156">
        <v>129.1</v>
      </c>
    </row>
    <row r="157" spans="1:30" hidden="1" x14ac:dyDescent="0.3">
      <c r="A157" t="s">
        <v>34</v>
      </c>
      <c r="B157">
        <v>2017</v>
      </c>
      <c r="C157" t="s">
        <v>37</v>
      </c>
      <c r="D157">
        <v>133</v>
      </c>
      <c r="E157">
        <v>139.4</v>
      </c>
      <c r="F157">
        <v>126.1</v>
      </c>
      <c r="G157">
        <v>137.19999999999999</v>
      </c>
      <c r="H157">
        <v>118.4</v>
      </c>
      <c r="I157">
        <v>139.9</v>
      </c>
      <c r="J157">
        <v>123.4</v>
      </c>
      <c r="K157">
        <v>140.9</v>
      </c>
      <c r="L157">
        <v>118.5</v>
      </c>
      <c r="M157">
        <v>136.5</v>
      </c>
      <c r="N157">
        <v>127.4</v>
      </c>
      <c r="O157">
        <v>144.19999999999999</v>
      </c>
      <c r="P157">
        <v>133.5</v>
      </c>
      <c r="Q157">
        <v>145.4</v>
      </c>
      <c r="R157">
        <v>138</v>
      </c>
      <c r="S157">
        <v>131.1</v>
      </c>
      <c r="T157">
        <v>137</v>
      </c>
      <c r="U157">
        <v>131.69999999999999</v>
      </c>
      <c r="V157">
        <v>129.80000000000001</v>
      </c>
      <c r="W157">
        <v>130.4</v>
      </c>
      <c r="X157">
        <v>128.1</v>
      </c>
      <c r="Y157">
        <v>116.6</v>
      </c>
      <c r="Z157">
        <v>125.1</v>
      </c>
      <c r="AA157">
        <v>134.5</v>
      </c>
      <c r="AB157">
        <v>123.1</v>
      </c>
      <c r="AC157">
        <v>125.1</v>
      </c>
      <c r="AD157">
        <v>131.1</v>
      </c>
    </row>
    <row r="158" spans="1:30" hidden="1" x14ac:dyDescent="0.3">
      <c r="A158" t="s">
        <v>30</v>
      </c>
      <c r="B158">
        <v>2017</v>
      </c>
      <c r="C158" t="s">
        <v>38</v>
      </c>
      <c r="D158">
        <v>133.1</v>
      </c>
      <c r="E158">
        <v>140.30000000000001</v>
      </c>
      <c r="F158">
        <v>126.8</v>
      </c>
      <c r="G158">
        <v>138.19999999999999</v>
      </c>
      <c r="H158">
        <v>120.8</v>
      </c>
      <c r="I158">
        <v>140.19999999999999</v>
      </c>
      <c r="J158">
        <v>123.8</v>
      </c>
      <c r="K158">
        <v>141.80000000000001</v>
      </c>
      <c r="L158">
        <v>118.6</v>
      </c>
      <c r="M158">
        <v>134</v>
      </c>
      <c r="N158">
        <v>130.30000000000001</v>
      </c>
      <c r="O158">
        <v>145.80000000000001</v>
      </c>
      <c r="P158">
        <v>133.80000000000001</v>
      </c>
      <c r="Q158">
        <v>145.5</v>
      </c>
      <c r="R158">
        <v>142.5</v>
      </c>
      <c r="S158">
        <v>137.30000000000001</v>
      </c>
      <c r="T158">
        <v>141.80000000000001</v>
      </c>
      <c r="U158" t="s">
        <v>32</v>
      </c>
      <c r="V158">
        <v>135</v>
      </c>
      <c r="W158">
        <v>134.9</v>
      </c>
      <c r="X158">
        <v>131.4</v>
      </c>
      <c r="Y158">
        <v>119.4</v>
      </c>
      <c r="Z158">
        <v>129.4</v>
      </c>
      <c r="AA158">
        <v>136.30000000000001</v>
      </c>
      <c r="AB158">
        <v>123.7</v>
      </c>
      <c r="AC158">
        <v>127.9</v>
      </c>
      <c r="AD158">
        <v>133.30000000000001</v>
      </c>
    </row>
    <row r="159" spans="1:30" hidden="1" x14ac:dyDescent="0.3">
      <c r="A159" t="s">
        <v>33</v>
      </c>
      <c r="B159">
        <v>2017</v>
      </c>
      <c r="C159" t="s">
        <v>38</v>
      </c>
      <c r="D159">
        <v>132.6</v>
      </c>
      <c r="E159">
        <v>144.1</v>
      </c>
      <c r="F159">
        <v>125.6</v>
      </c>
      <c r="G159">
        <v>136.80000000000001</v>
      </c>
      <c r="H159">
        <v>113.4</v>
      </c>
      <c r="I159">
        <v>135.19999999999999</v>
      </c>
      <c r="J159">
        <v>129.19999999999999</v>
      </c>
      <c r="K159">
        <v>131.5</v>
      </c>
      <c r="L159">
        <v>121</v>
      </c>
      <c r="M159">
        <v>139.9</v>
      </c>
      <c r="N159">
        <v>123.8</v>
      </c>
      <c r="O159">
        <v>142.9</v>
      </c>
      <c r="P159">
        <v>133.6</v>
      </c>
      <c r="Q159">
        <v>148.30000000000001</v>
      </c>
      <c r="R159">
        <v>131.5</v>
      </c>
      <c r="S159">
        <v>123.2</v>
      </c>
      <c r="T159">
        <v>130.19999999999999</v>
      </c>
      <c r="U159">
        <v>132.1</v>
      </c>
      <c r="V159">
        <v>120.1</v>
      </c>
      <c r="W159">
        <v>126.5</v>
      </c>
      <c r="X159">
        <v>123.6</v>
      </c>
      <c r="Y159">
        <v>114.3</v>
      </c>
      <c r="Z159">
        <v>122.8</v>
      </c>
      <c r="AA159">
        <v>133.80000000000001</v>
      </c>
      <c r="AB159">
        <v>122</v>
      </c>
      <c r="AC159">
        <v>122.6</v>
      </c>
      <c r="AD159">
        <v>129.30000000000001</v>
      </c>
    </row>
    <row r="160" spans="1:30" hidden="1" x14ac:dyDescent="0.3">
      <c r="A160" t="s">
        <v>34</v>
      </c>
      <c r="B160">
        <v>2017</v>
      </c>
      <c r="C160" t="s">
        <v>38</v>
      </c>
      <c r="D160">
        <v>132.9</v>
      </c>
      <c r="E160">
        <v>141.6</v>
      </c>
      <c r="F160">
        <v>126.3</v>
      </c>
      <c r="G160">
        <v>137.69999999999999</v>
      </c>
      <c r="H160">
        <v>118.1</v>
      </c>
      <c r="I160">
        <v>137.9</v>
      </c>
      <c r="J160">
        <v>125.6</v>
      </c>
      <c r="K160">
        <v>138.30000000000001</v>
      </c>
      <c r="L160">
        <v>119.4</v>
      </c>
      <c r="M160">
        <v>136</v>
      </c>
      <c r="N160">
        <v>127.6</v>
      </c>
      <c r="O160">
        <v>144.5</v>
      </c>
      <c r="P160">
        <v>133.69999999999999</v>
      </c>
      <c r="Q160">
        <v>146.19999999999999</v>
      </c>
      <c r="R160">
        <v>138.19999999999999</v>
      </c>
      <c r="S160">
        <v>131.4</v>
      </c>
      <c r="T160">
        <v>137.19999999999999</v>
      </c>
      <c r="U160">
        <v>132.1</v>
      </c>
      <c r="V160">
        <v>129.4</v>
      </c>
      <c r="W160">
        <v>130.9</v>
      </c>
      <c r="X160">
        <v>128.4</v>
      </c>
      <c r="Y160">
        <v>116.7</v>
      </c>
      <c r="Z160">
        <v>125.7</v>
      </c>
      <c r="AA160">
        <v>134.80000000000001</v>
      </c>
      <c r="AB160">
        <v>123</v>
      </c>
      <c r="AC160">
        <v>125.3</v>
      </c>
      <c r="AD160">
        <v>131.4</v>
      </c>
    </row>
    <row r="161" spans="1:30" hidden="1" x14ac:dyDescent="0.3">
      <c r="A161" t="s">
        <v>30</v>
      </c>
      <c r="B161">
        <v>2017</v>
      </c>
      <c r="C161" t="s">
        <v>39</v>
      </c>
      <c r="D161">
        <v>133.5</v>
      </c>
      <c r="E161">
        <v>143.69999999999999</v>
      </c>
      <c r="F161">
        <v>128</v>
      </c>
      <c r="G161">
        <v>138.6</v>
      </c>
      <c r="H161">
        <v>120.9</v>
      </c>
      <c r="I161">
        <v>140.9</v>
      </c>
      <c r="J161">
        <v>128.80000000000001</v>
      </c>
      <c r="K161">
        <v>140.19999999999999</v>
      </c>
      <c r="L161">
        <v>118.9</v>
      </c>
      <c r="M161">
        <v>133.5</v>
      </c>
      <c r="N161">
        <v>130.4</v>
      </c>
      <c r="O161">
        <v>146.5</v>
      </c>
      <c r="P161">
        <v>134.9</v>
      </c>
      <c r="Q161">
        <v>145.80000000000001</v>
      </c>
      <c r="R161">
        <v>143.1</v>
      </c>
      <c r="S161">
        <v>137.69999999999999</v>
      </c>
      <c r="T161">
        <v>142.30000000000001</v>
      </c>
      <c r="U161" t="s">
        <v>32</v>
      </c>
      <c r="V161">
        <v>134.80000000000001</v>
      </c>
      <c r="W161">
        <v>135.19999999999999</v>
      </c>
      <c r="X161">
        <v>131.30000000000001</v>
      </c>
      <c r="Y161">
        <v>119.4</v>
      </c>
      <c r="Z161">
        <v>129.80000000000001</v>
      </c>
      <c r="AA161">
        <v>136.9</v>
      </c>
      <c r="AB161">
        <v>124.1</v>
      </c>
      <c r="AC161">
        <v>128.1</v>
      </c>
      <c r="AD161">
        <v>133.9</v>
      </c>
    </row>
    <row r="162" spans="1:30" hidden="1" x14ac:dyDescent="0.3">
      <c r="A162" t="s">
        <v>33</v>
      </c>
      <c r="B162">
        <v>2017</v>
      </c>
      <c r="C162" t="s">
        <v>39</v>
      </c>
      <c r="D162">
        <v>132.9</v>
      </c>
      <c r="E162">
        <v>148.69999999999999</v>
      </c>
      <c r="F162">
        <v>128.30000000000001</v>
      </c>
      <c r="G162">
        <v>137.30000000000001</v>
      </c>
      <c r="H162">
        <v>113.5</v>
      </c>
      <c r="I162">
        <v>137.19999999999999</v>
      </c>
      <c r="J162">
        <v>142.19999999999999</v>
      </c>
      <c r="K162">
        <v>128.19999999999999</v>
      </c>
      <c r="L162">
        <v>120.9</v>
      </c>
      <c r="M162">
        <v>138.80000000000001</v>
      </c>
      <c r="N162">
        <v>124.2</v>
      </c>
      <c r="O162">
        <v>143.1</v>
      </c>
      <c r="P162">
        <v>135.69999999999999</v>
      </c>
      <c r="Q162">
        <v>148.6</v>
      </c>
      <c r="R162">
        <v>131.5</v>
      </c>
      <c r="S162">
        <v>123.2</v>
      </c>
      <c r="T162">
        <v>130.19999999999999</v>
      </c>
      <c r="U162">
        <v>131.4</v>
      </c>
      <c r="V162">
        <v>119</v>
      </c>
      <c r="W162">
        <v>126.8</v>
      </c>
      <c r="X162">
        <v>123.8</v>
      </c>
      <c r="Y162">
        <v>113.9</v>
      </c>
      <c r="Z162">
        <v>122.9</v>
      </c>
      <c r="AA162">
        <v>134.30000000000001</v>
      </c>
      <c r="AB162">
        <v>122.5</v>
      </c>
      <c r="AC162">
        <v>122.7</v>
      </c>
      <c r="AD162">
        <v>129.9</v>
      </c>
    </row>
    <row r="163" spans="1:30" hidden="1" x14ac:dyDescent="0.3">
      <c r="A163" t="s">
        <v>34</v>
      </c>
      <c r="B163">
        <v>2017</v>
      </c>
      <c r="C163" t="s">
        <v>39</v>
      </c>
      <c r="D163">
        <v>133.30000000000001</v>
      </c>
      <c r="E163">
        <v>145.5</v>
      </c>
      <c r="F163">
        <v>128.1</v>
      </c>
      <c r="G163">
        <v>138.1</v>
      </c>
      <c r="H163">
        <v>118.2</v>
      </c>
      <c r="I163">
        <v>139.19999999999999</v>
      </c>
      <c r="J163">
        <v>133.30000000000001</v>
      </c>
      <c r="K163">
        <v>136.19999999999999</v>
      </c>
      <c r="L163">
        <v>119.6</v>
      </c>
      <c r="M163">
        <v>135.30000000000001</v>
      </c>
      <c r="N163">
        <v>127.8</v>
      </c>
      <c r="O163">
        <v>144.9</v>
      </c>
      <c r="P163">
        <v>135.19999999999999</v>
      </c>
      <c r="Q163">
        <v>146.5</v>
      </c>
      <c r="R163">
        <v>138.5</v>
      </c>
      <c r="S163">
        <v>131.69999999999999</v>
      </c>
      <c r="T163">
        <v>137.5</v>
      </c>
      <c r="U163">
        <v>131.4</v>
      </c>
      <c r="V163">
        <v>128.80000000000001</v>
      </c>
      <c r="W163">
        <v>131.19999999999999</v>
      </c>
      <c r="X163">
        <v>128.5</v>
      </c>
      <c r="Y163">
        <v>116.5</v>
      </c>
      <c r="Z163">
        <v>125.9</v>
      </c>
      <c r="AA163">
        <v>135.4</v>
      </c>
      <c r="AB163">
        <v>123.4</v>
      </c>
      <c r="AC163">
        <v>125.5</v>
      </c>
      <c r="AD163">
        <v>132</v>
      </c>
    </row>
    <row r="164" spans="1:30" hidden="1" x14ac:dyDescent="0.3">
      <c r="A164" t="s">
        <v>30</v>
      </c>
      <c r="B164">
        <v>2017</v>
      </c>
      <c r="C164" t="s">
        <v>40</v>
      </c>
      <c r="D164">
        <v>134</v>
      </c>
      <c r="E164">
        <v>144.19999999999999</v>
      </c>
      <c r="F164">
        <v>129.80000000000001</v>
      </c>
      <c r="G164">
        <v>139</v>
      </c>
      <c r="H164">
        <v>120.9</v>
      </c>
      <c r="I164">
        <v>143.9</v>
      </c>
      <c r="J164">
        <v>151.5</v>
      </c>
      <c r="K164">
        <v>138.1</v>
      </c>
      <c r="L164">
        <v>120</v>
      </c>
      <c r="M164">
        <v>133.9</v>
      </c>
      <c r="N164">
        <v>131.4</v>
      </c>
      <c r="O164">
        <v>147.69999999999999</v>
      </c>
      <c r="P164">
        <v>138.5</v>
      </c>
      <c r="Q164">
        <v>147.4</v>
      </c>
      <c r="R164">
        <v>144.30000000000001</v>
      </c>
      <c r="S164">
        <v>138.1</v>
      </c>
      <c r="T164">
        <v>143.5</v>
      </c>
      <c r="U164" t="s">
        <v>32</v>
      </c>
      <c r="V164">
        <v>135.30000000000001</v>
      </c>
      <c r="W164">
        <v>136.1</v>
      </c>
      <c r="X164">
        <v>132.1</v>
      </c>
      <c r="Y164">
        <v>119.1</v>
      </c>
      <c r="Z164">
        <v>130.6</v>
      </c>
      <c r="AA164">
        <v>138.6</v>
      </c>
      <c r="AB164">
        <v>124.4</v>
      </c>
      <c r="AC164">
        <v>128.6</v>
      </c>
      <c r="AD164">
        <v>136.19999999999999</v>
      </c>
    </row>
    <row r="165" spans="1:30" hidden="1" x14ac:dyDescent="0.3">
      <c r="A165" t="s">
        <v>33</v>
      </c>
      <c r="B165">
        <v>2017</v>
      </c>
      <c r="C165" t="s">
        <v>40</v>
      </c>
      <c r="D165">
        <v>132.80000000000001</v>
      </c>
      <c r="E165">
        <v>148.4</v>
      </c>
      <c r="F165">
        <v>129.4</v>
      </c>
      <c r="G165">
        <v>137.69999999999999</v>
      </c>
      <c r="H165">
        <v>113.4</v>
      </c>
      <c r="I165">
        <v>139.4</v>
      </c>
      <c r="J165">
        <v>175.1</v>
      </c>
      <c r="K165">
        <v>124.7</v>
      </c>
      <c r="L165">
        <v>121.5</v>
      </c>
      <c r="M165">
        <v>137.80000000000001</v>
      </c>
      <c r="N165">
        <v>124.4</v>
      </c>
      <c r="O165">
        <v>143.69999999999999</v>
      </c>
      <c r="P165">
        <v>139.80000000000001</v>
      </c>
      <c r="Q165">
        <v>150.5</v>
      </c>
      <c r="R165">
        <v>131.6</v>
      </c>
      <c r="S165">
        <v>123.7</v>
      </c>
      <c r="T165">
        <v>130.4</v>
      </c>
      <c r="U165">
        <v>132.6</v>
      </c>
      <c r="V165">
        <v>119.7</v>
      </c>
      <c r="W165">
        <v>127.2</v>
      </c>
      <c r="X165">
        <v>125</v>
      </c>
      <c r="Y165">
        <v>113.2</v>
      </c>
      <c r="Z165">
        <v>123.5</v>
      </c>
      <c r="AA165">
        <v>135.5</v>
      </c>
      <c r="AB165">
        <v>122.4</v>
      </c>
      <c r="AC165">
        <v>123</v>
      </c>
      <c r="AD165">
        <v>131.80000000000001</v>
      </c>
    </row>
    <row r="166" spans="1:30" hidden="1" x14ac:dyDescent="0.3">
      <c r="A166" t="s">
        <v>34</v>
      </c>
      <c r="B166">
        <v>2017</v>
      </c>
      <c r="C166" t="s">
        <v>40</v>
      </c>
      <c r="D166">
        <v>133.6</v>
      </c>
      <c r="E166">
        <v>145.69999999999999</v>
      </c>
      <c r="F166">
        <v>129.6</v>
      </c>
      <c r="G166">
        <v>138.5</v>
      </c>
      <c r="H166">
        <v>118.1</v>
      </c>
      <c r="I166">
        <v>141.80000000000001</v>
      </c>
      <c r="J166">
        <v>159.5</v>
      </c>
      <c r="K166">
        <v>133.6</v>
      </c>
      <c r="L166">
        <v>120.5</v>
      </c>
      <c r="M166">
        <v>135.19999999999999</v>
      </c>
      <c r="N166">
        <v>128.5</v>
      </c>
      <c r="O166">
        <v>145.80000000000001</v>
      </c>
      <c r="P166">
        <v>139</v>
      </c>
      <c r="Q166">
        <v>148.19999999999999</v>
      </c>
      <c r="R166">
        <v>139.30000000000001</v>
      </c>
      <c r="S166">
        <v>132.1</v>
      </c>
      <c r="T166">
        <v>138.30000000000001</v>
      </c>
      <c r="U166">
        <v>132.6</v>
      </c>
      <c r="V166">
        <v>129.4</v>
      </c>
      <c r="W166">
        <v>131.9</v>
      </c>
      <c r="X166">
        <v>129.4</v>
      </c>
      <c r="Y166">
        <v>116</v>
      </c>
      <c r="Z166">
        <v>126.6</v>
      </c>
      <c r="AA166">
        <v>136.80000000000001</v>
      </c>
      <c r="AB166">
        <v>123.6</v>
      </c>
      <c r="AC166">
        <v>125.9</v>
      </c>
      <c r="AD166">
        <v>134.19999999999999</v>
      </c>
    </row>
    <row r="167" spans="1:30" hidden="1" x14ac:dyDescent="0.3">
      <c r="A167" t="s">
        <v>30</v>
      </c>
      <c r="B167">
        <v>2017</v>
      </c>
      <c r="C167" t="s">
        <v>41</v>
      </c>
      <c r="D167">
        <v>134.80000000000001</v>
      </c>
      <c r="E167">
        <v>143.1</v>
      </c>
      <c r="F167">
        <v>130</v>
      </c>
      <c r="G167">
        <v>139.4</v>
      </c>
      <c r="H167">
        <v>120.5</v>
      </c>
      <c r="I167">
        <v>148</v>
      </c>
      <c r="J167">
        <v>162.9</v>
      </c>
      <c r="K167">
        <v>137.4</v>
      </c>
      <c r="L167">
        <v>120.8</v>
      </c>
      <c r="M167">
        <v>134.69999999999999</v>
      </c>
      <c r="N167">
        <v>131.6</v>
      </c>
      <c r="O167">
        <v>148.69999999999999</v>
      </c>
      <c r="P167">
        <v>140.6</v>
      </c>
      <c r="Q167">
        <v>149</v>
      </c>
      <c r="R167">
        <v>145.30000000000001</v>
      </c>
      <c r="S167">
        <v>139.19999999999999</v>
      </c>
      <c r="T167">
        <v>144.5</v>
      </c>
      <c r="U167" t="s">
        <v>32</v>
      </c>
      <c r="V167">
        <v>136.4</v>
      </c>
      <c r="W167">
        <v>137.30000000000001</v>
      </c>
      <c r="X167">
        <v>133</v>
      </c>
      <c r="Y167">
        <v>120.3</v>
      </c>
      <c r="Z167">
        <v>131.5</v>
      </c>
      <c r="AA167">
        <v>140.19999999999999</v>
      </c>
      <c r="AB167">
        <v>125.4</v>
      </c>
      <c r="AC167">
        <v>129.69999999999999</v>
      </c>
      <c r="AD167">
        <v>137.80000000000001</v>
      </c>
    </row>
    <row r="168" spans="1:30" hidden="1" x14ac:dyDescent="0.3">
      <c r="A168" t="s">
        <v>33</v>
      </c>
      <c r="B168">
        <v>2017</v>
      </c>
      <c r="C168" t="s">
        <v>41</v>
      </c>
      <c r="D168">
        <v>133.19999999999999</v>
      </c>
      <c r="E168">
        <v>143.9</v>
      </c>
      <c r="F168">
        <v>128.30000000000001</v>
      </c>
      <c r="G168">
        <v>138.30000000000001</v>
      </c>
      <c r="H168">
        <v>114.1</v>
      </c>
      <c r="I168">
        <v>142.69999999999999</v>
      </c>
      <c r="J168">
        <v>179.8</v>
      </c>
      <c r="K168">
        <v>123.5</v>
      </c>
      <c r="L168">
        <v>122.1</v>
      </c>
      <c r="M168">
        <v>137.5</v>
      </c>
      <c r="N168">
        <v>124.6</v>
      </c>
      <c r="O168">
        <v>144.5</v>
      </c>
      <c r="P168">
        <v>140.5</v>
      </c>
      <c r="Q168">
        <v>152.1</v>
      </c>
      <c r="R168">
        <v>132.69999999999999</v>
      </c>
      <c r="S168">
        <v>124.3</v>
      </c>
      <c r="T168">
        <v>131.4</v>
      </c>
      <c r="U168">
        <v>134.4</v>
      </c>
      <c r="V168">
        <v>118.9</v>
      </c>
      <c r="W168">
        <v>127.7</v>
      </c>
      <c r="X168">
        <v>125.7</v>
      </c>
      <c r="Y168">
        <v>114.6</v>
      </c>
      <c r="Z168">
        <v>124.1</v>
      </c>
      <c r="AA168">
        <v>135.69999999999999</v>
      </c>
      <c r="AB168">
        <v>123.3</v>
      </c>
      <c r="AC168">
        <v>123.8</v>
      </c>
      <c r="AD168">
        <v>132.69999999999999</v>
      </c>
    </row>
    <row r="169" spans="1:30" hidden="1" x14ac:dyDescent="0.3">
      <c r="A169" t="s">
        <v>34</v>
      </c>
      <c r="B169">
        <v>2017</v>
      </c>
      <c r="C169" t="s">
        <v>41</v>
      </c>
      <c r="D169">
        <v>134.30000000000001</v>
      </c>
      <c r="E169">
        <v>143.4</v>
      </c>
      <c r="F169">
        <v>129.30000000000001</v>
      </c>
      <c r="G169">
        <v>139</v>
      </c>
      <c r="H169">
        <v>118.1</v>
      </c>
      <c r="I169">
        <v>145.5</v>
      </c>
      <c r="J169">
        <v>168.6</v>
      </c>
      <c r="K169">
        <v>132.69999999999999</v>
      </c>
      <c r="L169">
        <v>121.2</v>
      </c>
      <c r="M169">
        <v>135.6</v>
      </c>
      <c r="N169">
        <v>128.69999999999999</v>
      </c>
      <c r="O169">
        <v>146.80000000000001</v>
      </c>
      <c r="P169">
        <v>140.6</v>
      </c>
      <c r="Q169">
        <v>149.80000000000001</v>
      </c>
      <c r="R169">
        <v>140.30000000000001</v>
      </c>
      <c r="S169">
        <v>133</v>
      </c>
      <c r="T169">
        <v>139.30000000000001</v>
      </c>
      <c r="U169">
        <v>134.4</v>
      </c>
      <c r="V169">
        <v>129.80000000000001</v>
      </c>
      <c r="W169">
        <v>132.80000000000001</v>
      </c>
      <c r="X169">
        <v>130.19999999999999</v>
      </c>
      <c r="Y169">
        <v>117.3</v>
      </c>
      <c r="Z169">
        <v>127.3</v>
      </c>
      <c r="AA169">
        <v>137.6</v>
      </c>
      <c r="AB169">
        <v>124.5</v>
      </c>
      <c r="AC169">
        <v>126.8</v>
      </c>
      <c r="AD169">
        <v>135.4</v>
      </c>
    </row>
    <row r="170" spans="1:30" hidden="1" x14ac:dyDescent="0.3">
      <c r="A170" t="s">
        <v>30</v>
      </c>
      <c r="B170">
        <v>2017</v>
      </c>
      <c r="C170" t="s">
        <v>42</v>
      </c>
      <c r="D170">
        <v>135.19999999999999</v>
      </c>
      <c r="E170">
        <v>142</v>
      </c>
      <c r="F170">
        <v>130.5</v>
      </c>
      <c r="G170">
        <v>140.19999999999999</v>
      </c>
      <c r="H170">
        <v>120.7</v>
      </c>
      <c r="I170">
        <v>147.80000000000001</v>
      </c>
      <c r="J170">
        <v>154.5</v>
      </c>
      <c r="K170">
        <v>137.1</v>
      </c>
      <c r="L170">
        <v>121</v>
      </c>
      <c r="M170">
        <v>134.69999999999999</v>
      </c>
      <c r="N170">
        <v>131.69999999999999</v>
      </c>
      <c r="O170">
        <v>149.30000000000001</v>
      </c>
      <c r="P170">
        <v>139.6</v>
      </c>
      <c r="Q170">
        <v>149.80000000000001</v>
      </c>
      <c r="R170">
        <v>146.1</v>
      </c>
      <c r="S170">
        <v>139.69999999999999</v>
      </c>
      <c r="T170">
        <v>145.19999999999999</v>
      </c>
      <c r="U170" t="s">
        <v>32</v>
      </c>
      <c r="V170">
        <v>137.4</v>
      </c>
      <c r="W170">
        <v>137.9</v>
      </c>
      <c r="X170">
        <v>133.4</v>
      </c>
      <c r="Y170">
        <v>121.2</v>
      </c>
      <c r="Z170">
        <v>132.30000000000001</v>
      </c>
      <c r="AA170">
        <v>139.6</v>
      </c>
      <c r="AB170">
        <v>126.7</v>
      </c>
      <c r="AC170">
        <v>130.30000000000001</v>
      </c>
      <c r="AD170">
        <v>137.6</v>
      </c>
    </row>
    <row r="171" spans="1:30" hidden="1" x14ac:dyDescent="0.3">
      <c r="A171" t="s">
        <v>33</v>
      </c>
      <c r="B171">
        <v>2017</v>
      </c>
      <c r="C171" t="s">
        <v>42</v>
      </c>
      <c r="D171">
        <v>133.6</v>
      </c>
      <c r="E171">
        <v>143</v>
      </c>
      <c r="F171">
        <v>129.69999999999999</v>
      </c>
      <c r="G171">
        <v>138.69999999999999</v>
      </c>
      <c r="H171">
        <v>114.5</v>
      </c>
      <c r="I171">
        <v>137.5</v>
      </c>
      <c r="J171">
        <v>160.69999999999999</v>
      </c>
      <c r="K171">
        <v>124.5</v>
      </c>
      <c r="L171">
        <v>122.4</v>
      </c>
      <c r="M171">
        <v>137.30000000000001</v>
      </c>
      <c r="N171">
        <v>124.8</v>
      </c>
      <c r="O171">
        <v>145</v>
      </c>
      <c r="P171">
        <v>138</v>
      </c>
      <c r="Q171">
        <v>153.6</v>
      </c>
      <c r="R171">
        <v>133.30000000000001</v>
      </c>
      <c r="S171">
        <v>124.6</v>
      </c>
      <c r="T171">
        <v>132</v>
      </c>
      <c r="U171">
        <v>135.69999999999999</v>
      </c>
      <c r="V171">
        <v>120.6</v>
      </c>
      <c r="W171">
        <v>128.1</v>
      </c>
      <c r="X171">
        <v>126.1</v>
      </c>
      <c r="Y171">
        <v>115.7</v>
      </c>
      <c r="Z171">
        <v>124.5</v>
      </c>
      <c r="AA171">
        <v>135.9</v>
      </c>
      <c r="AB171">
        <v>124.4</v>
      </c>
      <c r="AC171">
        <v>124.5</v>
      </c>
      <c r="AD171">
        <v>132.4</v>
      </c>
    </row>
    <row r="172" spans="1:30" hidden="1" x14ac:dyDescent="0.3">
      <c r="A172" t="s">
        <v>34</v>
      </c>
      <c r="B172">
        <v>2017</v>
      </c>
      <c r="C172" t="s">
        <v>42</v>
      </c>
      <c r="D172">
        <v>134.69999999999999</v>
      </c>
      <c r="E172">
        <v>142.4</v>
      </c>
      <c r="F172">
        <v>130.19999999999999</v>
      </c>
      <c r="G172">
        <v>139.6</v>
      </c>
      <c r="H172">
        <v>118.4</v>
      </c>
      <c r="I172">
        <v>143</v>
      </c>
      <c r="J172">
        <v>156.6</v>
      </c>
      <c r="K172">
        <v>132.9</v>
      </c>
      <c r="L172">
        <v>121.5</v>
      </c>
      <c r="M172">
        <v>135.6</v>
      </c>
      <c r="N172">
        <v>128.80000000000001</v>
      </c>
      <c r="O172">
        <v>147.30000000000001</v>
      </c>
      <c r="P172">
        <v>139</v>
      </c>
      <c r="Q172">
        <v>150.80000000000001</v>
      </c>
      <c r="R172">
        <v>141.1</v>
      </c>
      <c r="S172">
        <v>133.4</v>
      </c>
      <c r="T172">
        <v>140</v>
      </c>
      <c r="U172">
        <v>135.69999999999999</v>
      </c>
      <c r="V172">
        <v>131</v>
      </c>
      <c r="W172">
        <v>133.30000000000001</v>
      </c>
      <c r="X172">
        <v>130.6</v>
      </c>
      <c r="Y172">
        <v>118.3</v>
      </c>
      <c r="Z172">
        <v>127.9</v>
      </c>
      <c r="AA172">
        <v>137.4</v>
      </c>
      <c r="AB172">
        <v>125.7</v>
      </c>
      <c r="AC172">
        <v>127.5</v>
      </c>
      <c r="AD172">
        <v>135.19999999999999</v>
      </c>
    </row>
    <row r="173" spans="1:30" hidden="1" x14ac:dyDescent="0.3">
      <c r="A173" t="s">
        <v>30</v>
      </c>
      <c r="B173">
        <v>2017</v>
      </c>
      <c r="C173" t="s">
        <v>43</v>
      </c>
      <c r="D173">
        <v>135.9</v>
      </c>
      <c r="E173">
        <v>141.9</v>
      </c>
      <c r="F173">
        <v>131</v>
      </c>
      <c r="G173">
        <v>141.5</v>
      </c>
      <c r="H173">
        <v>121.4</v>
      </c>
      <c r="I173">
        <v>146.69999999999999</v>
      </c>
      <c r="J173">
        <v>157.1</v>
      </c>
      <c r="K173">
        <v>136.4</v>
      </c>
      <c r="L173">
        <v>121.4</v>
      </c>
      <c r="M173">
        <v>135.6</v>
      </c>
      <c r="N173">
        <v>131.30000000000001</v>
      </c>
      <c r="O173">
        <v>150.30000000000001</v>
      </c>
      <c r="P173">
        <v>140.4</v>
      </c>
      <c r="Q173">
        <v>150.5</v>
      </c>
      <c r="R173">
        <v>147.19999999999999</v>
      </c>
      <c r="S173">
        <v>140.6</v>
      </c>
      <c r="T173">
        <v>146.19999999999999</v>
      </c>
      <c r="U173" t="s">
        <v>32</v>
      </c>
      <c r="V173">
        <v>138.1</v>
      </c>
      <c r="W173">
        <v>138.4</v>
      </c>
      <c r="X173">
        <v>134.19999999999999</v>
      </c>
      <c r="Y173">
        <v>121</v>
      </c>
      <c r="Z173">
        <v>133</v>
      </c>
      <c r="AA173">
        <v>140.1</v>
      </c>
      <c r="AB173">
        <v>127.4</v>
      </c>
      <c r="AC173">
        <v>130.69999999999999</v>
      </c>
      <c r="AD173">
        <v>138.30000000000001</v>
      </c>
    </row>
    <row r="174" spans="1:30" hidden="1" x14ac:dyDescent="0.3">
      <c r="A174" t="s">
        <v>33</v>
      </c>
      <c r="B174">
        <v>2017</v>
      </c>
      <c r="C174" t="s">
        <v>43</v>
      </c>
      <c r="D174">
        <v>133.9</v>
      </c>
      <c r="E174">
        <v>142.80000000000001</v>
      </c>
      <c r="F174">
        <v>131.4</v>
      </c>
      <c r="G174">
        <v>139.1</v>
      </c>
      <c r="H174">
        <v>114.9</v>
      </c>
      <c r="I174">
        <v>135.6</v>
      </c>
      <c r="J174">
        <v>173.2</v>
      </c>
      <c r="K174">
        <v>124.1</v>
      </c>
      <c r="L174">
        <v>122.6</v>
      </c>
      <c r="M174">
        <v>137.80000000000001</v>
      </c>
      <c r="N174">
        <v>125.1</v>
      </c>
      <c r="O174">
        <v>145.5</v>
      </c>
      <c r="P174">
        <v>139.69999999999999</v>
      </c>
      <c r="Q174">
        <v>154.6</v>
      </c>
      <c r="R174">
        <v>134</v>
      </c>
      <c r="S174">
        <v>124.9</v>
      </c>
      <c r="T174">
        <v>132.6</v>
      </c>
      <c r="U174">
        <v>137.30000000000001</v>
      </c>
      <c r="V174">
        <v>122.6</v>
      </c>
      <c r="W174">
        <v>128.30000000000001</v>
      </c>
      <c r="X174">
        <v>126.6</v>
      </c>
      <c r="Y174">
        <v>115</v>
      </c>
      <c r="Z174">
        <v>124.8</v>
      </c>
      <c r="AA174">
        <v>136.30000000000001</v>
      </c>
      <c r="AB174">
        <v>124.6</v>
      </c>
      <c r="AC174">
        <v>124.5</v>
      </c>
      <c r="AD174">
        <v>133.5</v>
      </c>
    </row>
    <row r="175" spans="1:30" hidden="1" x14ac:dyDescent="0.3">
      <c r="A175" t="s">
        <v>34</v>
      </c>
      <c r="B175">
        <v>2017</v>
      </c>
      <c r="C175" t="s">
        <v>43</v>
      </c>
      <c r="D175">
        <v>135.30000000000001</v>
      </c>
      <c r="E175">
        <v>142.19999999999999</v>
      </c>
      <c r="F175">
        <v>131.19999999999999</v>
      </c>
      <c r="G175">
        <v>140.6</v>
      </c>
      <c r="H175">
        <v>119</v>
      </c>
      <c r="I175">
        <v>141.5</v>
      </c>
      <c r="J175">
        <v>162.6</v>
      </c>
      <c r="K175">
        <v>132.30000000000001</v>
      </c>
      <c r="L175">
        <v>121.8</v>
      </c>
      <c r="M175">
        <v>136.30000000000001</v>
      </c>
      <c r="N175">
        <v>128.69999999999999</v>
      </c>
      <c r="O175">
        <v>148.1</v>
      </c>
      <c r="P175">
        <v>140.1</v>
      </c>
      <c r="Q175">
        <v>151.6</v>
      </c>
      <c r="R175">
        <v>142</v>
      </c>
      <c r="S175">
        <v>134.1</v>
      </c>
      <c r="T175">
        <v>140.80000000000001</v>
      </c>
      <c r="U175">
        <v>137.30000000000001</v>
      </c>
      <c r="V175">
        <v>132.19999999999999</v>
      </c>
      <c r="W175">
        <v>133.6</v>
      </c>
      <c r="X175">
        <v>131.30000000000001</v>
      </c>
      <c r="Y175">
        <v>117.8</v>
      </c>
      <c r="Z175">
        <v>128.4</v>
      </c>
      <c r="AA175">
        <v>137.9</v>
      </c>
      <c r="AB175">
        <v>126.2</v>
      </c>
      <c r="AC175">
        <v>127.7</v>
      </c>
      <c r="AD175">
        <v>136.1</v>
      </c>
    </row>
    <row r="176" spans="1:30" hidden="1" x14ac:dyDescent="0.3">
      <c r="A176" t="s">
        <v>30</v>
      </c>
      <c r="B176">
        <v>2017</v>
      </c>
      <c r="C176" t="s">
        <v>45</v>
      </c>
      <c r="D176">
        <v>136.30000000000001</v>
      </c>
      <c r="E176">
        <v>142.5</v>
      </c>
      <c r="F176">
        <v>140.5</v>
      </c>
      <c r="G176">
        <v>141.5</v>
      </c>
      <c r="H176">
        <v>121.6</v>
      </c>
      <c r="I176">
        <v>147.30000000000001</v>
      </c>
      <c r="J176">
        <v>168</v>
      </c>
      <c r="K176">
        <v>135.80000000000001</v>
      </c>
      <c r="L176">
        <v>122.5</v>
      </c>
      <c r="M176">
        <v>136</v>
      </c>
      <c r="N176">
        <v>131.9</v>
      </c>
      <c r="O176">
        <v>151.4</v>
      </c>
      <c r="P176">
        <v>142.4</v>
      </c>
      <c r="Q176">
        <v>152.1</v>
      </c>
      <c r="R176">
        <v>148.19999999999999</v>
      </c>
      <c r="S176">
        <v>141.5</v>
      </c>
      <c r="T176">
        <v>147.30000000000001</v>
      </c>
      <c r="U176" t="s">
        <v>32</v>
      </c>
      <c r="V176">
        <v>141.1</v>
      </c>
      <c r="W176">
        <v>139.4</v>
      </c>
      <c r="X176">
        <v>135.80000000000001</v>
      </c>
      <c r="Y176">
        <v>121.6</v>
      </c>
      <c r="Z176">
        <v>133.69999999999999</v>
      </c>
      <c r="AA176">
        <v>141.5</v>
      </c>
      <c r="AB176">
        <v>128.1</v>
      </c>
      <c r="AC176">
        <v>131.69999999999999</v>
      </c>
      <c r="AD176">
        <v>140</v>
      </c>
    </row>
    <row r="177" spans="1:30" hidden="1" x14ac:dyDescent="0.3">
      <c r="A177" t="s">
        <v>33</v>
      </c>
      <c r="B177">
        <v>2017</v>
      </c>
      <c r="C177" t="s">
        <v>45</v>
      </c>
      <c r="D177">
        <v>134.30000000000001</v>
      </c>
      <c r="E177">
        <v>142.1</v>
      </c>
      <c r="F177">
        <v>146.69999999999999</v>
      </c>
      <c r="G177">
        <v>139.5</v>
      </c>
      <c r="H177">
        <v>115.2</v>
      </c>
      <c r="I177">
        <v>136.4</v>
      </c>
      <c r="J177">
        <v>185.2</v>
      </c>
      <c r="K177">
        <v>122.2</v>
      </c>
      <c r="L177">
        <v>123.9</v>
      </c>
      <c r="M177">
        <v>138.30000000000001</v>
      </c>
      <c r="N177">
        <v>125.4</v>
      </c>
      <c r="O177">
        <v>146</v>
      </c>
      <c r="P177">
        <v>141.5</v>
      </c>
      <c r="Q177">
        <v>156.19999999999999</v>
      </c>
      <c r="R177">
        <v>135</v>
      </c>
      <c r="S177">
        <v>125.4</v>
      </c>
      <c r="T177">
        <v>133.5</v>
      </c>
      <c r="U177">
        <v>138.6</v>
      </c>
      <c r="V177">
        <v>125.7</v>
      </c>
      <c r="W177">
        <v>128.80000000000001</v>
      </c>
      <c r="X177">
        <v>127.4</v>
      </c>
      <c r="Y177">
        <v>115.3</v>
      </c>
      <c r="Z177">
        <v>125.1</v>
      </c>
      <c r="AA177">
        <v>136.6</v>
      </c>
      <c r="AB177">
        <v>124.9</v>
      </c>
      <c r="AC177">
        <v>124.9</v>
      </c>
      <c r="AD177">
        <v>134.80000000000001</v>
      </c>
    </row>
    <row r="178" spans="1:30" hidden="1" x14ac:dyDescent="0.3">
      <c r="A178" t="s">
        <v>34</v>
      </c>
      <c r="B178">
        <v>2017</v>
      </c>
      <c r="C178" t="s">
        <v>45</v>
      </c>
      <c r="D178">
        <v>135.69999999999999</v>
      </c>
      <c r="E178">
        <v>142.4</v>
      </c>
      <c r="F178">
        <v>142.9</v>
      </c>
      <c r="G178">
        <v>140.80000000000001</v>
      </c>
      <c r="H178">
        <v>119.2</v>
      </c>
      <c r="I178">
        <v>142.19999999999999</v>
      </c>
      <c r="J178">
        <v>173.8</v>
      </c>
      <c r="K178">
        <v>131.19999999999999</v>
      </c>
      <c r="L178">
        <v>123</v>
      </c>
      <c r="M178">
        <v>136.80000000000001</v>
      </c>
      <c r="N178">
        <v>129.19999999999999</v>
      </c>
      <c r="O178">
        <v>148.9</v>
      </c>
      <c r="P178">
        <v>142.1</v>
      </c>
      <c r="Q178">
        <v>153.19999999999999</v>
      </c>
      <c r="R178">
        <v>143</v>
      </c>
      <c r="S178">
        <v>134.80000000000001</v>
      </c>
      <c r="T178">
        <v>141.80000000000001</v>
      </c>
      <c r="U178">
        <v>138.6</v>
      </c>
      <c r="V178">
        <v>135.30000000000001</v>
      </c>
      <c r="W178">
        <v>134.4</v>
      </c>
      <c r="X178">
        <v>132.6</v>
      </c>
      <c r="Y178">
        <v>118.3</v>
      </c>
      <c r="Z178">
        <v>128.9</v>
      </c>
      <c r="AA178">
        <v>138.6</v>
      </c>
      <c r="AB178">
        <v>126.8</v>
      </c>
      <c r="AC178">
        <v>128.4</v>
      </c>
      <c r="AD178">
        <v>137.6</v>
      </c>
    </row>
    <row r="179" spans="1:30" hidden="1" x14ac:dyDescent="0.3">
      <c r="A179" t="s">
        <v>30</v>
      </c>
      <c r="B179">
        <v>2017</v>
      </c>
      <c r="C179" t="s">
        <v>46</v>
      </c>
      <c r="D179">
        <v>136.4</v>
      </c>
      <c r="E179">
        <v>143.69999999999999</v>
      </c>
      <c r="F179">
        <v>144.80000000000001</v>
      </c>
      <c r="G179">
        <v>141.9</v>
      </c>
      <c r="H179">
        <v>123.1</v>
      </c>
      <c r="I179">
        <v>147.19999999999999</v>
      </c>
      <c r="J179">
        <v>161</v>
      </c>
      <c r="K179">
        <v>133.80000000000001</v>
      </c>
      <c r="L179">
        <v>121.9</v>
      </c>
      <c r="M179">
        <v>135.80000000000001</v>
      </c>
      <c r="N179">
        <v>131.1</v>
      </c>
      <c r="O179">
        <v>151.4</v>
      </c>
      <c r="P179">
        <v>141.5</v>
      </c>
      <c r="Q179">
        <v>153.19999999999999</v>
      </c>
      <c r="R179">
        <v>148</v>
      </c>
      <c r="S179">
        <v>141.9</v>
      </c>
      <c r="T179">
        <v>147.19999999999999</v>
      </c>
      <c r="U179" t="s">
        <v>32</v>
      </c>
      <c r="V179">
        <v>142.6</v>
      </c>
      <c r="W179">
        <v>139.5</v>
      </c>
      <c r="X179">
        <v>136.1</v>
      </c>
      <c r="Y179">
        <v>122</v>
      </c>
      <c r="Z179">
        <v>133.4</v>
      </c>
      <c r="AA179">
        <v>141.1</v>
      </c>
      <c r="AB179">
        <v>127.8</v>
      </c>
      <c r="AC179">
        <v>131.9</v>
      </c>
      <c r="AD179">
        <v>139.80000000000001</v>
      </c>
    </row>
    <row r="180" spans="1:30" hidden="1" x14ac:dyDescent="0.3">
      <c r="A180" t="s">
        <v>33</v>
      </c>
      <c r="B180">
        <v>2017</v>
      </c>
      <c r="C180" t="s">
        <v>46</v>
      </c>
      <c r="D180">
        <v>134.4</v>
      </c>
      <c r="E180">
        <v>142.6</v>
      </c>
      <c r="F180">
        <v>145.9</v>
      </c>
      <c r="G180">
        <v>139.5</v>
      </c>
      <c r="H180">
        <v>115.9</v>
      </c>
      <c r="I180">
        <v>135</v>
      </c>
      <c r="J180">
        <v>163.19999999999999</v>
      </c>
      <c r="K180">
        <v>119.8</v>
      </c>
      <c r="L180">
        <v>120.7</v>
      </c>
      <c r="M180">
        <v>139.69999999999999</v>
      </c>
      <c r="N180">
        <v>125.7</v>
      </c>
      <c r="O180">
        <v>146.30000000000001</v>
      </c>
      <c r="P180">
        <v>138.80000000000001</v>
      </c>
      <c r="Q180">
        <v>157</v>
      </c>
      <c r="R180">
        <v>135.6</v>
      </c>
      <c r="S180">
        <v>125.6</v>
      </c>
      <c r="T180">
        <v>134</v>
      </c>
      <c r="U180">
        <v>139.1</v>
      </c>
      <c r="V180">
        <v>126.8</v>
      </c>
      <c r="W180">
        <v>129.30000000000001</v>
      </c>
      <c r="X180">
        <v>128.19999999999999</v>
      </c>
      <c r="Y180">
        <v>115.3</v>
      </c>
      <c r="Z180">
        <v>125.6</v>
      </c>
      <c r="AA180">
        <v>136.69999999999999</v>
      </c>
      <c r="AB180">
        <v>124.6</v>
      </c>
      <c r="AC180">
        <v>125.1</v>
      </c>
      <c r="AD180">
        <v>134.1</v>
      </c>
    </row>
    <row r="181" spans="1:30" hidden="1" x14ac:dyDescent="0.3">
      <c r="A181" t="s">
        <v>34</v>
      </c>
      <c r="B181">
        <v>2017</v>
      </c>
      <c r="C181" t="s">
        <v>46</v>
      </c>
      <c r="D181">
        <v>135.80000000000001</v>
      </c>
      <c r="E181">
        <v>143.30000000000001</v>
      </c>
      <c r="F181">
        <v>145.19999999999999</v>
      </c>
      <c r="G181">
        <v>141</v>
      </c>
      <c r="H181">
        <v>120.5</v>
      </c>
      <c r="I181">
        <v>141.5</v>
      </c>
      <c r="J181">
        <v>161.69999999999999</v>
      </c>
      <c r="K181">
        <v>129.1</v>
      </c>
      <c r="L181">
        <v>121.5</v>
      </c>
      <c r="M181">
        <v>137.1</v>
      </c>
      <c r="N181">
        <v>128.80000000000001</v>
      </c>
      <c r="O181">
        <v>149</v>
      </c>
      <c r="P181">
        <v>140.5</v>
      </c>
      <c r="Q181">
        <v>154.19999999999999</v>
      </c>
      <c r="R181">
        <v>143.1</v>
      </c>
      <c r="S181">
        <v>135.1</v>
      </c>
      <c r="T181">
        <v>142</v>
      </c>
      <c r="U181">
        <v>139.1</v>
      </c>
      <c r="V181">
        <v>136.6</v>
      </c>
      <c r="W181">
        <v>134.69999999999999</v>
      </c>
      <c r="X181">
        <v>133.1</v>
      </c>
      <c r="Y181">
        <v>118.5</v>
      </c>
      <c r="Z181">
        <v>129</v>
      </c>
      <c r="AA181">
        <v>138.5</v>
      </c>
      <c r="AB181">
        <v>126.5</v>
      </c>
      <c r="AC181">
        <v>128.6</v>
      </c>
      <c r="AD181">
        <v>137.19999999999999</v>
      </c>
    </row>
    <row r="182" spans="1:30" hidden="1" x14ac:dyDescent="0.3">
      <c r="A182" t="s">
        <v>30</v>
      </c>
      <c r="B182">
        <v>2018</v>
      </c>
      <c r="C182" t="s">
        <v>31</v>
      </c>
      <c r="D182">
        <v>136.6</v>
      </c>
      <c r="E182">
        <v>144.4</v>
      </c>
      <c r="F182">
        <v>143.80000000000001</v>
      </c>
      <c r="G182">
        <v>142</v>
      </c>
      <c r="H182">
        <v>123.2</v>
      </c>
      <c r="I182">
        <v>147.9</v>
      </c>
      <c r="J182">
        <v>152.1</v>
      </c>
      <c r="K182">
        <v>131.80000000000001</v>
      </c>
      <c r="L182">
        <v>119.5</v>
      </c>
      <c r="M182">
        <v>136</v>
      </c>
      <c r="N182">
        <v>131.19999999999999</v>
      </c>
      <c r="O182">
        <v>151.80000000000001</v>
      </c>
      <c r="P182">
        <v>140.4</v>
      </c>
      <c r="Q182">
        <v>153.6</v>
      </c>
      <c r="R182">
        <v>148.30000000000001</v>
      </c>
      <c r="S182">
        <v>142.30000000000001</v>
      </c>
      <c r="T182">
        <v>147.5</v>
      </c>
      <c r="U182" t="s">
        <v>32</v>
      </c>
      <c r="V182">
        <v>142.30000000000001</v>
      </c>
      <c r="W182">
        <v>139.80000000000001</v>
      </c>
      <c r="X182">
        <v>136</v>
      </c>
      <c r="Y182">
        <v>122.7</v>
      </c>
      <c r="Z182">
        <v>134.30000000000001</v>
      </c>
      <c r="AA182">
        <v>141.6</v>
      </c>
      <c r="AB182">
        <v>128.6</v>
      </c>
      <c r="AC182">
        <v>132.30000000000001</v>
      </c>
      <c r="AD182">
        <v>139.30000000000001</v>
      </c>
    </row>
    <row r="183" spans="1:30" hidden="1" x14ac:dyDescent="0.3">
      <c r="A183" t="s">
        <v>33</v>
      </c>
      <c r="B183">
        <v>2018</v>
      </c>
      <c r="C183" t="s">
        <v>31</v>
      </c>
      <c r="D183">
        <v>134.6</v>
      </c>
      <c r="E183">
        <v>143.69999999999999</v>
      </c>
      <c r="F183">
        <v>143.6</v>
      </c>
      <c r="G183">
        <v>139.6</v>
      </c>
      <c r="H183">
        <v>116.4</v>
      </c>
      <c r="I183">
        <v>133.80000000000001</v>
      </c>
      <c r="J183">
        <v>150.5</v>
      </c>
      <c r="K183">
        <v>118.4</v>
      </c>
      <c r="L183">
        <v>117.3</v>
      </c>
      <c r="M183">
        <v>140.5</v>
      </c>
      <c r="N183">
        <v>125.9</v>
      </c>
      <c r="O183">
        <v>146.80000000000001</v>
      </c>
      <c r="P183">
        <v>137.19999999999999</v>
      </c>
      <c r="Q183">
        <v>157.69999999999999</v>
      </c>
      <c r="R183">
        <v>136</v>
      </c>
      <c r="S183">
        <v>125.9</v>
      </c>
      <c r="T183">
        <v>134.4</v>
      </c>
      <c r="U183">
        <v>140.4</v>
      </c>
      <c r="V183">
        <v>127.3</v>
      </c>
      <c r="W183">
        <v>129.5</v>
      </c>
      <c r="X183">
        <v>129</v>
      </c>
      <c r="Y183">
        <v>116.3</v>
      </c>
      <c r="Z183">
        <v>126.2</v>
      </c>
      <c r="AA183">
        <v>137.1</v>
      </c>
      <c r="AB183">
        <v>125.5</v>
      </c>
      <c r="AC183">
        <v>125.8</v>
      </c>
      <c r="AD183">
        <v>134.1</v>
      </c>
    </row>
    <row r="184" spans="1:30" hidden="1" x14ac:dyDescent="0.3">
      <c r="A184" t="s">
        <v>34</v>
      </c>
      <c r="B184">
        <v>2018</v>
      </c>
      <c r="C184" t="s">
        <v>31</v>
      </c>
      <c r="D184">
        <v>136</v>
      </c>
      <c r="E184">
        <v>144.19999999999999</v>
      </c>
      <c r="F184">
        <v>143.69999999999999</v>
      </c>
      <c r="G184">
        <v>141.1</v>
      </c>
      <c r="H184">
        <v>120.7</v>
      </c>
      <c r="I184">
        <v>141.30000000000001</v>
      </c>
      <c r="J184">
        <v>151.6</v>
      </c>
      <c r="K184">
        <v>127.3</v>
      </c>
      <c r="L184">
        <v>118.8</v>
      </c>
      <c r="M184">
        <v>137.5</v>
      </c>
      <c r="N184">
        <v>129</v>
      </c>
      <c r="O184">
        <v>149.5</v>
      </c>
      <c r="P184">
        <v>139.19999999999999</v>
      </c>
      <c r="Q184">
        <v>154.69999999999999</v>
      </c>
      <c r="R184">
        <v>143.5</v>
      </c>
      <c r="S184">
        <v>135.5</v>
      </c>
      <c r="T184">
        <v>142.30000000000001</v>
      </c>
      <c r="U184">
        <v>140.4</v>
      </c>
      <c r="V184">
        <v>136.6</v>
      </c>
      <c r="W184">
        <v>134.9</v>
      </c>
      <c r="X184">
        <v>133.30000000000001</v>
      </c>
      <c r="Y184">
        <v>119.3</v>
      </c>
      <c r="Z184">
        <v>129.69999999999999</v>
      </c>
      <c r="AA184">
        <v>139</v>
      </c>
      <c r="AB184">
        <v>127.3</v>
      </c>
      <c r="AC184">
        <v>129.1</v>
      </c>
      <c r="AD184">
        <v>136.9</v>
      </c>
    </row>
    <row r="185" spans="1:30" hidden="1" x14ac:dyDescent="0.3">
      <c r="A185" t="s">
        <v>30</v>
      </c>
      <c r="B185">
        <v>2018</v>
      </c>
      <c r="C185" t="s">
        <v>35</v>
      </c>
      <c r="D185">
        <v>136.4</v>
      </c>
      <c r="E185">
        <v>143.69999999999999</v>
      </c>
      <c r="F185">
        <v>140.6</v>
      </c>
      <c r="G185">
        <v>141.5</v>
      </c>
      <c r="H185">
        <v>122.9</v>
      </c>
      <c r="I185">
        <v>149.4</v>
      </c>
      <c r="J185">
        <v>142.4</v>
      </c>
      <c r="K185">
        <v>130.19999999999999</v>
      </c>
      <c r="L185">
        <v>117.9</v>
      </c>
      <c r="M185">
        <v>135.6</v>
      </c>
      <c r="N185">
        <v>130.5</v>
      </c>
      <c r="O185">
        <v>151.69999999999999</v>
      </c>
      <c r="P185">
        <v>138.69999999999999</v>
      </c>
      <c r="Q185">
        <v>153.30000000000001</v>
      </c>
      <c r="R185">
        <v>148.69999999999999</v>
      </c>
      <c r="S185">
        <v>142.4</v>
      </c>
      <c r="T185">
        <v>147.80000000000001</v>
      </c>
      <c r="U185" t="s">
        <v>32</v>
      </c>
      <c r="V185">
        <v>142.4</v>
      </c>
      <c r="W185">
        <v>139.9</v>
      </c>
      <c r="X185">
        <v>136.19999999999999</v>
      </c>
      <c r="Y185">
        <v>123.3</v>
      </c>
      <c r="Z185">
        <v>134.30000000000001</v>
      </c>
      <c r="AA185">
        <v>141.5</v>
      </c>
      <c r="AB185">
        <v>128.80000000000001</v>
      </c>
      <c r="AC185">
        <v>132.5</v>
      </c>
      <c r="AD185">
        <v>138.5</v>
      </c>
    </row>
    <row r="186" spans="1:30" hidden="1" x14ac:dyDescent="0.3">
      <c r="A186" t="s">
        <v>33</v>
      </c>
      <c r="B186">
        <v>2018</v>
      </c>
      <c r="C186" t="s">
        <v>35</v>
      </c>
      <c r="D186">
        <v>134.80000000000001</v>
      </c>
      <c r="E186">
        <v>143</v>
      </c>
      <c r="F186">
        <v>139.9</v>
      </c>
      <c r="G186">
        <v>139.9</v>
      </c>
      <c r="H186">
        <v>116.2</v>
      </c>
      <c r="I186">
        <v>135.5</v>
      </c>
      <c r="J186">
        <v>136.9</v>
      </c>
      <c r="K186">
        <v>117</v>
      </c>
      <c r="L186">
        <v>115.4</v>
      </c>
      <c r="M186">
        <v>140.69999999999999</v>
      </c>
      <c r="N186">
        <v>125.9</v>
      </c>
      <c r="O186">
        <v>147.1</v>
      </c>
      <c r="P186">
        <v>135.6</v>
      </c>
      <c r="Q186">
        <v>159.30000000000001</v>
      </c>
      <c r="R186">
        <v>136.30000000000001</v>
      </c>
      <c r="S186">
        <v>126.1</v>
      </c>
      <c r="T186">
        <v>134.69999999999999</v>
      </c>
      <c r="U186">
        <v>141.30000000000001</v>
      </c>
      <c r="V186">
        <v>127.3</v>
      </c>
      <c r="W186">
        <v>129.9</v>
      </c>
      <c r="X186">
        <v>129.80000000000001</v>
      </c>
      <c r="Y186">
        <v>117.4</v>
      </c>
      <c r="Z186">
        <v>126.5</v>
      </c>
      <c r="AA186">
        <v>137.19999999999999</v>
      </c>
      <c r="AB186">
        <v>126.2</v>
      </c>
      <c r="AC186">
        <v>126.5</v>
      </c>
      <c r="AD186">
        <v>134</v>
      </c>
    </row>
    <row r="187" spans="1:30" hidden="1" x14ac:dyDescent="0.3">
      <c r="A187" t="s">
        <v>34</v>
      </c>
      <c r="B187">
        <v>2018</v>
      </c>
      <c r="C187" t="s">
        <v>35</v>
      </c>
      <c r="D187">
        <v>135.9</v>
      </c>
      <c r="E187">
        <v>143.5</v>
      </c>
      <c r="F187">
        <v>140.30000000000001</v>
      </c>
      <c r="G187">
        <v>140.9</v>
      </c>
      <c r="H187">
        <v>120.4</v>
      </c>
      <c r="I187">
        <v>142.9</v>
      </c>
      <c r="J187">
        <v>140.5</v>
      </c>
      <c r="K187">
        <v>125.8</v>
      </c>
      <c r="L187">
        <v>117.1</v>
      </c>
      <c r="M187">
        <v>137.30000000000001</v>
      </c>
      <c r="N187">
        <v>128.6</v>
      </c>
      <c r="O187">
        <v>149.6</v>
      </c>
      <c r="P187">
        <v>137.6</v>
      </c>
      <c r="Q187">
        <v>154.9</v>
      </c>
      <c r="R187">
        <v>143.80000000000001</v>
      </c>
      <c r="S187">
        <v>135.6</v>
      </c>
      <c r="T187">
        <v>142.6</v>
      </c>
      <c r="U187">
        <v>141.30000000000001</v>
      </c>
      <c r="V187">
        <v>136.69999999999999</v>
      </c>
      <c r="W187">
        <v>135.19999999999999</v>
      </c>
      <c r="X187">
        <v>133.80000000000001</v>
      </c>
      <c r="Y187">
        <v>120.2</v>
      </c>
      <c r="Z187">
        <v>129.9</v>
      </c>
      <c r="AA187">
        <v>139</v>
      </c>
      <c r="AB187">
        <v>127.7</v>
      </c>
      <c r="AC187">
        <v>129.6</v>
      </c>
      <c r="AD187">
        <v>136.4</v>
      </c>
    </row>
    <row r="188" spans="1:30" hidden="1" x14ac:dyDescent="0.3">
      <c r="A188" t="s">
        <v>30</v>
      </c>
      <c r="B188">
        <v>2018</v>
      </c>
      <c r="C188" t="s">
        <v>36</v>
      </c>
      <c r="D188">
        <v>136.80000000000001</v>
      </c>
      <c r="E188">
        <v>143.80000000000001</v>
      </c>
      <c r="F188">
        <v>140</v>
      </c>
      <c r="G188">
        <v>142</v>
      </c>
      <c r="H188">
        <v>123.2</v>
      </c>
      <c r="I188">
        <v>152.9</v>
      </c>
      <c r="J188">
        <v>138</v>
      </c>
      <c r="K188">
        <v>129.30000000000001</v>
      </c>
      <c r="L188">
        <v>117.1</v>
      </c>
      <c r="M188">
        <v>136.30000000000001</v>
      </c>
      <c r="N188">
        <v>131.19999999999999</v>
      </c>
      <c r="O188">
        <v>152.80000000000001</v>
      </c>
      <c r="P188">
        <v>138.6</v>
      </c>
      <c r="Q188">
        <v>155.1</v>
      </c>
      <c r="R188">
        <v>149.19999999999999</v>
      </c>
      <c r="S188">
        <v>143</v>
      </c>
      <c r="T188">
        <v>148.30000000000001</v>
      </c>
      <c r="U188" t="s">
        <v>32</v>
      </c>
      <c r="V188">
        <v>142.6</v>
      </c>
      <c r="W188">
        <v>139.9</v>
      </c>
      <c r="X188">
        <v>136.69999999999999</v>
      </c>
      <c r="Y188">
        <v>124.6</v>
      </c>
      <c r="Z188">
        <v>135.1</v>
      </c>
      <c r="AA188">
        <v>142.69999999999999</v>
      </c>
      <c r="AB188">
        <v>129.30000000000001</v>
      </c>
      <c r="AC188">
        <v>133.30000000000001</v>
      </c>
      <c r="AD188">
        <v>138.69999999999999</v>
      </c>
    </row>
    <row r="189" spans="1:30" hidden="1" x14ac:dyDescent="0.3">
      <c r="A189" t="s">
        <v>33</v>
      </c>
      <c r="B189">
        <v>2018</v>
      </c>
      <c r="C189" t="s">
        <v>36</v>
      </c>
      <c r="D189">
        <v>135</v>
      </c>
      <c r="E189">
        <v>143.1</v>
      </c>
      <c r="F189">
        <v>135.5</v>
      </c>
      <c r="G189">
        <v>139.9</v>
      </c>
      <c r="H189">
        <v>116.5</v>
      </c>
      <c r="I189">
        <v>138.5</v>
      </c>
      <c r="J189">
        <v>128</v>
      </c>
      <c r="K189">
        <v>115.5</v>
      </c>
      <c r="L189">
        <v>114.2</v>
      </c>
      <c r="M189">
        <v>140.69999999999999</v>
      </c>
      <c r="N189">
        <v>126.2</v>
      </c>
      <c r="O189">
        <v>147.6</v>
      </c>
      <c r="P189">
        <v>134.80000000000001</v>
      </c>
      <c r="Q189">
        <v>159.69999999999999</v>
      </c>
      <c r="R189">
        <v>136.69999999999999</v>
      </c>
      <c r="S189">
        <v>126.7</v>
      </c>
      <c r="T189">
        <v>135.19999999999999</v>
      </c>
      <c r="U189">
        <v>142</v>
      </c>
      <c r="V189">
        <v>126.4</v>
      </c>
      <c r="W189">
        <v>130.80000000000001</v>
      </c>
      <c r="X189">
        <v>130.5</v>
      </c>
      <c r="Y189">
        <v>117.8</v>
      </c>
      <c r="Z189">
        <v>126.8</v>
      </c>
      <c r="AA189">
        <v>137.80000000000001</v>
      </c>
      <c r="AB189">
        <v>126.7</v>
      </c>
      <c r="AC189">
        <v>127.1</v>
      </c>
      <c r="AD189">
        <v>134</v>
      </c>
    </row>
    <row r="190" spans="1:30" hidden="1" x14ac:dyDescent="0.3">
      <c r="A190" t="s">
        <v>34</v>
      </c>
      <c r="B190">
        <v>2018</v>
      </c>
      <c r="C190" t="s">
        <v>36</v>
      </c>
      <c r="D190">
        <v>136.19999999999999</v>
      </c>
      <c r="E190">
        <v>143.6</v>
      </c>
      <c r="F190">
        <v>138.30000000000001</v>
      </c>
      <c r="G190">
        <v>141.19999999999999</v>
      </c>
      <c r="H190">
        <v>120.7</v>
      </c>
      <c r="I190">
        <v>146.19999999999999</v>
      </c>
      <c r="J190">
        <v>134.6</v>
      </c>
      <c r="K190">
        <v>124.6</v>
      </c>
      <c r="L190">
        <v>116.1</v>
      </c>
      <c r="M190">
        <v>137.80000000000001</v>
      </c>
      <c r="N190">
        <v>129.1</v>
      </c>
      <c r="O190">
        <v>150.4</v>
      </c>
      <c r="P190">
        <v>137.19999999999999</v>
      </c>
      <c r="Q190">
        <v>156.30000000000001</v>
      </c>
      <c r="R190">
        <v>144.30000000000001</v>
      </c>
      <c r="S190">
        <v>136.19999999999999</v>
      </c>
      <c r="T190">
        <v>143.1</v>
      </c>
      <c r="U190">
        <v>142</v>
      </c>
      <c r="V190">
        <v>136.5</v>
      </c>
      <c r="W190">
        <v>135.6</v>
      </c>
      <c r="X190">
        <v>134.30000000000001</v>
      </c>
      <c r="Y190">
        <v>121</v>
      </c>
      <c r="Z190">
        <v>130.4</v>
      </c>
      <c r="AA190">
        <v>139.80000000000001</v>
      </c>
      <c r="AB190">
        <v>128.19999999999999</v>
      </c>
      <c r="AC190">
        <v>130.30000000000001</v>
      </c>
      <c r="AD190">
        <v>136.5</v>
      </c>
    </row>
    <row r="191" spans="1:30" hidden="1" x14ac:dyDescent="0.3">
      <c r="A191" t="s">
        <v>30</v>
      </c>
      <c r="B191">
        <v>2018</v>
      </c>
      <c r="C191" t="s">
        <v>37</v>
      </c>
      <c r="D191">
        <v>137.1</v>
      </c>
      <c r="E191">
        <v>144.5</v>
      </c>
      <c r="F191">
        <v>135.9</v>
      </c>
      <c r="G191">
        <v>142.4</v>
      </c>
      <c r="H191">
        <v>123.5</v>
      </c>
      <c r="I191">
        <v>156.4</v>
      </c>
      <c r="J191">
        <v>135.1</v>
      </c>
      <c r="K191">
        <v>128.4</v>
      </c>
      <c r="L191">
        <v>115.2</v>
      </c>
      <c r="M191">
        <v>137.19999999999999</v>
      </c>
      <c r="N191">
        <v>131.9</v>
      </c>
      <c r="O191">
        <v>153.80000000000001</v>
      </c>
      <c r="P191">
        <v>138.6</v>
      </c>
      <c r="Q191">
        <v>156.1</v>
      </c>
      <c r="R191">
        <v>150.1</v>
      </c>
      <c r="S191">
        <v>143.30000000000001</v>
      </c>
      <c r="T191">
        <v>149.1</v>
      </c>
      <c r="U191" t="s">
        <v>32</v>
      </c>
      <c r="V191">
        <v>143.80000000000001</v>
      </c>
      <c r="W191">
        <v>140.9</v>
      </c>
      <c r="X191">
        <v>137.6</v>
      </c>
      <c r="Y191">
        <v>125.3</v>
      </c>
      <c r="Z191">
        <v>136</v>
      </c>
      <c r="AA191">
        <v>143.69999999999999</v>
      </c>
      <c r="AB191">
        <v>130.4</v>
      </c>
      <c r="AC191">
        <v>134.19999999999999</v>
      </c>
      <c r="AD191">
        <v>139.1</v>
      </c>
    </row>
    <row r="192" spans="1:30" hidden="1" x14ac:dyDescent="0.3">
      <c r="A192" t="s">
        <v>33</v>
      </c>
      <c r="B192">
        <v>2018</v>
      </c>
      <c r="C192" t="s">
        <v>37</v>
      </c>
      <c r="D192">
        <v>135</v>
      </c>
      <c r="E192">
        <v>144.30000000000001</v>
      </c>
      <c r="F192">
        <v>130.80000000000001</v>
      </c>
      <c r="G192">
        <v>140.30000000000001</v>
      </c>
      <c r="H192">
        <v>116.6</v>
      </c>
      <c r="I192">
        <v>150.1</v>
      </c>
      <c r="J192">
        <v>127.6</v>
      </c>
      <c r="K192">
        <v>114</v>
      </c>
      <c r="L192">
        <v>110.6</v>
      </c>
      <c r="M192">
        <v>140.19999999999999</v>
      </c>
      <c r="N192">
        <v>126.5</v>
      </c>
      <c r="O192">
        <v>148.30000000000001</v>
      </c>
      <c r="P192">
        <v>135.69999999999999</v>
      </c>
      <c r="Q192">
        <v>159.19999999999999</v>
      </c>
      <c r="R192">
        <v>137.80000000000001</v>
      </c>
      <c r="S192">
        <v>127.4</v>
      </c>
      <c r="T192">
        <v>136.19999999999999</v>
      </c>
      <c r="U192">
        <v>142.9</v>
      </c>
      <c r="V192">
        <v>124.6</v>
      </c>
      <c r="W192">
        <v>131.80000000000001</v>
      </c>
      <c r="X192">
        <v>131.30000000000001</v>
      </c>
      <c r="Y192">
        <v>118.9</v>
      </c>
      <c r="Z192">
        <v>127.6</v>
      </c>
      <c r="AA192">
        <v>139.69999999999999</v>
      </c>
      <c r="AB192">
        <v>127.6</v>
      </c>
      <c r="AC192">
        <v>128.19999999999999</v>
      </c>
      <c r="AD192">
        <v>134.80000000000001</v>
      </c>
    </row>
    <row r="193" spans="1:30" hidden="1" x14ac:dyDescent="0.3">
      <c r="A193" t="s">
        <v>34</v>
      </c>
      <c r="B193">
        <v>2018</v>
      </c>
      <c r="C193" t="s">
        <v>37</v>
      </c>
      <c r="D193">
        <v>136.4</v>
      </c>
      <c r="E193">
        <v>144.4</v>
      </c>
      <c r="F193">
        <v>133.9</v>
      </c>
      <c r="G193">
        <v>141.6</v>
      </c>
      <c r="H193">
        <v>121</v>
      </c>
      <c r="I193">
        <v>153.5</v>
      </c>
      <c r="J193">
        <v>132.6</v>
      </c>
      <c r="K193">
        <v>123.5</v>
      </c>
      <c r="L193">
        <v>113.7</v>
      </c>
      <c r="M193">
        <v>138.19999999999999</v>
      </c>
      <c r="N193">
        <v>129.6</v>
      </c>
      <c r="O193">
        <v>151.19999999999999</v>
      </c>
      <c r="P193">
        <v>137.5</v>
      </c>
      <c r="Q193">
        <v>156.9</v>
      </c>
      <c r="R193">
        <v>145.30000000000001</v>
      </c>
      <c r="S193">
        <v>136.69999999999999</v>
      </c>
      <c r="T193">
        <v>144</v>
      </c>
      <c r="U193">
        <v>142.9</v>
      </c>
      <c r="V193">
        <v>136.5</v>
      </c>
      <c r="W193">
        <v>136.6</v>
      </c>
      <c r="X193">
        <v>135.19999999999999</v>
      </c>
      <c r="Y193">
        <v>121.9</v>
      </c>
      <c r="Z193">
        <v>131.30000000000001</v>
      </c>
      <c r="AA193">
        <v>141.4</v>
      </c>
      <c r="AB193">
        <v>129.19999999999999</v>
      </c>
      <c r="AC193">
        <v>131.30000000000001</v>
      </c>
      <c r="AD193">
        <v>137.1</v>
      </c>
    </row>
    <row r="194" spans="1:30" hidden="1" x14ac:dyDescent="0.3">
      <c r="A194" t="s">
        <v>30</v>
      </c>
      <c r="B194">
        <v>2018</v>
      </c>
      <c r="C194" t="s">
        <v>38</v>
      </c>
      <c r="D194">
        <v>137.4</v>
      </c>
      <c r="E194">
        <v>145.69999999999999</v>
      </c>
      <c r="F194">
        <v>135.5</v>
      </c>
      <c r="G194">
        <v>142.9</v>
      </c>
      <c r="H194">
        <v>123.6</v>
      </c>
      <c r="I194">
        <v>157.5</v>
      </c>
      <c r="J194">
        <v>137.80000000000001</v>
      </c>
      <c r="K194">
        <v>127.2</v>
      </c>
      <c r="L194">
        <v>111.8</v>
      </c>
      <c r="M194">
        <v>137.4</v>
      </c>
      <c r="N194">
        <v>132.19999999999999</v>
      </c>
      <c r="O194">
        <v>154.30000000000001</v>
      </c>
      <c r="P194">
        <v>139.1</v>
      </c>
      <c r="Q194">
        <v>157</v>
      </c>
      <c r="R194">
        <v>150.80000000000001</v>
      </c>
      <c r="S194">
        <v>144.1</v>
      </c>
      <c r="T194">
        <v>149.80000000000001</v>
      </c>
      <c r="U194" t="s">
        <v>32</v>
      </c>
      <c r="V194">
        <v>144.30000000000001</v>
      </c>
      <c r="W194">
        <v>141.80000000000001</v>
      </c>
      <c r="X194">
        <v>138.4</v>
      </c>
      <c r="Y194">
        <v>126.4</v>
      </c>
      <c r="Z194">
        <v>136.80000000000001</v>
      </c>
      <c r="AA194">
        <v>144.4</v>
      </c>
      <c r="AB194">
        <v>131.19999999999999</v>
      </c>
      <c r="AC194">
        <v>135.1</v>
      </c>
      <c r="AD194">
        <v>139.80000000000001</v>
      </c>
    </row>
    <row r="195" spans="1:30" hidden="1" x14ac:dyDescent="0.3">
      <c r="A195" t="s">
        <v>33</v>
      </c>
      <c r="B195">
        <v>2018</v>
      </c>
      <c r="C195" t="s">
        <v>38</v>
      </c>
      <c r="D195">
        <v>135</v>
      </c>
      <c r="E195">
        <v>148.19999999999999</v>
      </c>
      <c r="F195">
        <v>130.5</v>
      </c>
      <c r="G195">
        <v>140.69999999999999</v>
      </c>
      <c r="H195">
        <v>116.4</v>
      </c>
      <c r="I195">
        <v>151.30000000000001</v>
      </c>
      <c r="J195">
        <v>131.4</v>
      </c>
      <c r="K195">
        <v>112.8</v>
      </c>
      <c r="L195">
        <v>105.3</v>
      </c>
      <c r="M195">
        <v>139.6</v>
      </c>
      <c r="N195">
        <v>126.6</v>
      </c>
      <c r="O195">
        <v>148.69999999999999</v>
      </c>
      <c r="P195">
        <v>136.4</v>
      </c>
      <c r="Q195">
        <v>160.30000000000001</v>
      </c>
      <c r="R195">
        <v>138.6</v>
      </c>
      <c r="S195">
        <v>127.9</v>
      </c>
      <c r="T195">
        <v>137</v>
      </c>
      <c r="U195">
        <v>143.19999999999999</v>
      </c>
      <c r="V195">
        <v>124.7</v>
      </c>
      <c r="W195">
        <v>132.5</v>
      </c>
      <c r="X195">
        <v>132</v>
      </c>
      <c r="Y195">
        <v>119.8</v>
      </c>
      <c r="Z195">
        <v>128</v>
      </c>
      <c r="AA195">
        <v>140.4</v>
      </c>
      <c r="AB195">
        <v>128.1</v>
      </c>
      <c r="AC195">
        <v>128.9</v>
      </c>
      <c r="AD195">
        <v>135.4</v>
      </c>
    </row>
    <row r="196" spans="1:30" hidden="1" x14ac:dyDescent="0.3">
      <c r="A196" t="s">
        <v>34</v>
      </c>
      <c r="B196">
        <v>2018</v>
      </c>
      <c r="C196" t="s">
        <v>38</v>
      </c>
      <c r="D196">
        <v>136.6</v>
      </c>
      <c r="E196">
        <v>146.6</v>
      </c>
      <c r="F196">
        <v>133.6</v>
      </c>
      <c r="G196">
        <v>142.1</v>
      </c>
      <c r="H196">
        <v>121</v>
      </c>
      <c r="I196">
        <v>154.6</v>
      </c>
      <c r="J196">
        <v>135.6</v>
      </c>
      <c r="K196">
        <v>122.3</v>
      </c>
      <c r="L196">
        <v>109.6</v>
      </c>
      <c r="M196">
        <v>138.1</v>
      </c>
      <c r="N196">
        <v>129.9</v>
      </c>
      <c r="O196">
        <v>151.69999999999999</v>
      </c>
      <c r="P196">
        <v>138.1</v>
      </c>
      <c r="Q196">
        <v>157.9</v>
      </c>
      <c r="R196">
        <v>146</v>
      </c>
      <c r="S196">
        <v>137.4</v>
      </c>
      <c r="T196">
        <v>144.69999999999999</v>
      </c>
      <c r="U196">
        <v>143.19999999999999</v>
      </c>
      <c r="V196">
        <v>136.9</v>
      </c>
      <c r="W196">
        <v>137.4</v>
      </c>
      <c r="X196">
        <v>136</v>
      </c>
      <c r="Y196">
        <v>122.9</v>
      </c>
      <c r="Z196">
        <v>131.80000000000001</v>
      </c>
      <c r="AA196">
        <v>142.1</v>
      </c>
      <c r="AB196">
        <v>129.9</v>
      </c>
      <c r="AC196">
        <v>132.1</v>
      </c>
      <c r="AD196">
        <v>137.80000000000001</v>
      </c>
    </row>
    <row r="197" spans="1:30" hidden="1" x14ac:dyDescent="0.3">
      <c r="A197" t="s">
        <v>30</v>
      </c>
      <c r="B197">
        <v>2018</v>
      </c>
      <c r="C197" t="s">
        <v>39</v>
      </c>
      <c r="D197">
        <v>137.6</v>
      </c>
      <c r="E197">
        <v>148.1</v>
      </c>
      <c r="F197">
        <v>136.69999999999999</v>
      </c>
      <c r="G197">
        <v>143.19999999999999</v>
      </c>
      <c r="H197">
        <v>124</v>
      </c>
      <c r="I197">
        <v>154.1</v>
      </c>
      <c r="J197">
        <v>143.5</v>
      </c>
      <c r="K197">
        <v>126</v>
      </c>
      <c r="L197">
        <v>112.4</v>
      </c>
      <c r="M197">
        <v>137.6</v>
      </c>
      <c r="N197">
        <v>132.80000000000001</v>
      </c>
      <c r="O197">
        <v>154.30000000000001</v>
      </c>
      <c r="P197">
        <v>140</v>
      </c>
      <c r="Q197">
        <v>157.30000000000001</v>
      </c>
      <c r="R197">
        <v>151.30000000000001</v>
      </c>
      <c r="S197">
        <v>144.69999999999999</v>
      </c>
      <c r="T197">
        <v>150.30000000000001</v>
      </c>
      <c r="U197" t="s">
        <v>32</v>
      </c>
      <c r="V197">
        <v>145.1</v>
      </c>
      <c r="W197">
        <v>142.19999999999999</v>
      </c>
      <c r="X197">
        <v>138.4</v>
      </c>
      <c r="Y197">
        <v>127.4</v>
      </c>
      <c r="Z197">
        <v>137.80000000000001</v>
      </c>
      <c r="AA197">
        <v>145.1</v>
      </c>
      <c r="AB197">
        <v>131.4</v>
      </c>
      <c r="AC197">
        <v>135.6</v>
      </c>
      <c r="AD197">
        <v>140.5</v>
      </c>
    </row>
    <row r="198" spans="1:30" hidden="1" x14ac:dyDescent="0.3">
      <c r="A198" t="s">
        <v>33</v>
      </c>
      <c r="B198">
        <v>2018</v>
      </c>
      <c r="C198" t="s">
        <v>39</v>
      </c>
      <c r="D198">
        <v>135.30000000000001</v>
      </c>
      <c r="E198">
        <v>149.69999999999999</v>
      </c>
      <c r="F198">
        <v>133.9</v>
      </c>
      <c r="G198">
        <v>140.80000000000001</v>
      </c>
      <c r="H198">
        <v>116.6</v>
      </c>
      <c r="I198">
        <v>152.19999999999999</v>
      </c>
      <c r="J198">
        <v>144</v>
      </c>
      <c r="K198">
        <v>112.3</v>
      </c>
      <c r="L198">
        <v>108.4</v>
      </c>
      <c r="M198">
        <v>140</v>
      </c>
      <c r="N198">
        <v>126.7</v>
      </c>
      <c r="O198">
        <v>149</v>
      </c>
      <c r="P198">
        <v>138.4</v>
      </c>
      <c r="Q198">
        <v>161</v>
      </c>
      <c r="R198">
        <v>138.9</v>
      </c>
      <c r="S198">
        <v>128.69999999999999</v>
      </c>
      <c r="T198">
        <v>137.4</v>
      </c>
      <c r="U198">
        <v>142.5</v>
      </c>
      <c r="V198">
        <v>126.5</v>
      </c>
      <c r="W198">
        <v>133.1</v>
      </c>
      <c r="X198">
        <v>132.6</v>
      </c>
      <c r="Y198">
        <v>120.4</v>
      </c>
      <c r="Z198">
        <v>128.5</v>
      </c>
      <c r="AA198">
        <v>141.19999999999999</v>
      </c>
      <c r="AB198">
        <v>128.19999999999999</v>
      </c>
      <c r="AC198">
        <v>129.5</v>
      </c>
      <c r="AD198">
        <v>136.19999999999999</v>
      </c>
    </row>
    <row r="199" spans="1:30" hidden="1" x14ac:dyDescent="0.3">
      <c r="A199" t="s">
        <v>34</v>
      </c>
      <c r="B199">
        <v>2018</v>
      </c>
      <c r="C199" t="s">
        <v>39</v>
      </c>
      <c r="D199">
        <v>136.9</v>
      </c>
      <c r="E199">
        <v>148.69999999999999</v>
      </c>
      <c r="F199">
        <v>135.6</v>
      </c>
      <c r="G199">
        <v>142.30000000000001</v>
      </c>
      <c r="H199">
        <v>121.3</v>
      </c>
      <c r="I199">
        <v>153.19999999999999</v>
      </c>
      <c r="J199">
        <v>143.69999999999999</v>
      </c>
      <c r="K199">
        <v>121.4</v>
      </c>
      <c r="L199">
        <v>111.1</v>
      </c>
      <c r="M199">
        <v>138.4</v>
      </c>
      <c r="N199">
        <v>130.30000000000001</v>
      </c>
      <c r="O199">
        <v>151.80000000000001</v>
      </c>
      <c r="P199">
        <v>139.4</v>
      </c>
      <c r="Q199">
        <v>158.30000000000001</v>
      </c>
      <c r="R199">
        <v>146.4</v>
      </c>
      <c r="S199">
        <v>138.1</v>
      </c>
      <c r="T199">
        <v>145.19999999999999</v>
      </c>
      <c r="U199">
        <v>142.5</v>
      </c>
      <c r="V199">
        <v>138.1</v>
      </c>
      <c r="W199">
        <v>137.9</v>
      </c>
      <c r="X199">
        <v>136.19999999999999</v>
      </c>
      <c r="Y199">
        <v>123.7</v>
      </c>
      <c r="Z199">
        <v>132.6</v>
      </c>
      <c r="AA199">
        <v>142.80000000000001</v>
      </c>
      <c r="AB199">
        <v>130.1</v>
      </c>
      <c r="AC199">
        <v>132.6</v>
      </c>
      <c r="AD199">
        <v>138.5</v>
      </c>
    </row>
    <row r="200" spans="1:30" hidden="1" x14ac:dyDescent="0.3">
      <c r="A200" t="s">
        <v>30</v>
      </c>
      <c r="B200">
        <v>2018</v>
      </c>
      <c r="C200" t="s">
        <v>40</v>
      </c>
      <c r="D200">
        <v>138.4</v>
      </c>
      <c r="E200">
        <v>149.30000000000001</v>
      </c>
      <c r="F200">
        <v>139.30000000000001</v>
      </c>
      <c r="G200">
        <v>143.4</v>
      </c>
      <c r="H200">
        <v>124.1</v>
      </c>
      <c r="I200">
        <v>153.30000000000001</v>
      </c>
      <c r="J200">
        <v>154.19999999999999</v>
      </c>
      <c r="K200">
        <v>126.4</v>
      </c>
      <c r="L200">
        <v>114.3</v>
      </c>
      <c r="M200">
        <v>138.19999999999999</v>
      </c>
      <c r="N200">
        <v>132.80000000000001</v>
      </c>
      <c r="O200">
        <v>154.80000000000001</v>
      </c>
      <c r="P200">
        <v>142</v>
      </c>
      <c r="Q200">
        <v>156.1</v>
      </c>
      <c r="R200">
        <v>151.5</v>
      </c>
      <c r="S200">
        <v>145.1</v>
      </c>
      <c r="T200">
        <v>150.6</v>
      </c>
      <c r="U200" t="s">
        <v>32</v>
      </c>
      <c r="V200">
        <v>146.80000000000001</v>
      </c>
      <c r="W200">
        <v>143.1</v>
      </c>
      <c r="X200">
        <v>139</v>
      </c>
      <c r="Y200">
        <v>127.5</v>
      </c>
      <c r="Z200">
        <v>138.4</v>
      </c>
      <c r="AA200">
        <v>145.80000000000001</v>
      </c>
      <c r="AB200">
        <v>131.4</v>
      </c>
      <c r="AC200">
        <v>136</v>
      </c>
      <c r="AD200">
        <v>141.80000000000001</v>
      </c>
    </row>
    <row r="201" spans="1:30" hidden="1" x14ac:dyDescent="0.3">
      <c r="A201" t="s">
        <v>33</v>
      </c>
      <c r="B201">
        <v>2018</v>
      </c>
      <c r="C201" t="s">
        <v>40</v>
      </c>
      <c r="D201">
        <v>135.6</v>
      </c>
      <c r="E201">
        <v>148.6</v>
      </c>
      <c r="F201">
        <v>139.1</v>
      </c>
      <c r="G201">
        <v>141</v>
      </c>
      <c r="H201">
        <v>116.7</v>
      </c>
      <c r="I201">
        <v>149.69999999999999</v>
      </c>
      <c r="J201">
        <v>159.19999999999999</v>
      </c>
      <c r="K201">
        <v>112.6</v>
      </c>
      <c r="L201">
        <v>111.8</v>
      </c>
      <c r="M201">
        <v>140.30000000000001</v>
      </c>
      <c r="N201">
        <v>126.8</v>
      </c>
      <c r="O201">
        <v>149.4</v>
      </c>
      <c r="P201">
        <v>140.30000000000001</v>
      </c>
      <c r="Q201">
        <v>161.4</v>
      </c>
      <c r="R201">
        <v>139.6</v>
      </c>
      <c r="S201">
        <v>128.9</v>
      </c>
      <c r="T201">
        <v>137.9</v>
      </c>
      <c r="U201">
        <v>143.6</v>
      </c>
      <c r="V201">
        <v>128.1</v>
      </c>
      <c r="W201">
        <v>133.6</v>
      </c>
      <c r="X201">
        <v>133.6</v>
      </c>
      <c r="Y201">
        <v>120.1</v>
      </c>
      <c r="Z201">
        <v>129</v>
      </c>
      <c r="AA201">
        <v>144</v>
      </c>
      <c r="AB201">
        <v>128.19999999999999</v>
      </c>
      <c r="AC201">
        <v>130.19999999999999</v>
      </c>
      <c r="AD201">
        <v>137.5</v>
      </c>
    </row>
    <row r="202" spans="1:30" hidden="1" x14ac:dyDescent="0.3">
      <c r="A202" t="s">
        <v>34</v>
      </c>
      <c r="B202">
        <v>2018</v>
      </c>
      <c r="C202" t="s">
        <v>40</v>
      </c>
      <c r="D202">
        <v>137.5</v>
      </c>
      <c r="E202">
        <v>149.1</v>
      </c>
      <c r="F202">
        <v>139.19999999999999</v>
      </c>
      <c r="G202">
        <v>142.5</v>
      </c>
      <c r="H202">
        <v>121.4</v>
      </c>
      <c r="I202">
        <v>151.6</v>
      </c>
      <c r="J202">
        <v>155.9</v>
      </c>
      <c r="K202">
        <v>121.7</v>
      </c>
      <c r="L202">
        <v>113.5</v>
      </c>
      <c r="M202">
        <v>138.9</v>
      </c>
      <c r="N202">
        <v>130.30000000000001</v>
      </c>
      <c r="O202">
        <v>152.30000000000001</v>
      </c>
      <c r="P202">
        <v>141.4</v>
      </c>
      <c r="Q202">
        <v>157.5</v>
      </c>
      <c r="R202">
        <v>146.80000000000001</v>
      </c>
      <c r="S202">
        <v>138.4</v>
      </c>
      <c r="T202">
        <v>145.6</v>
      </c>
      <c r="U202">
        <v>143.6</v>
      </c>
      <c r="V202">
        <v>139.69999999999999</v>
      </c>
      <c r="W202">
        <v>138.6</v>
      </c>
      <c r="X202">
        <v>137</v>
      </c>
      <c r="Y202">
        <v>123.6</v>
      </c>
      <c r="Z202">
        <v>133.1</v>
      </c>
      <c r="AA202">
        <v>144.69999999999999</v>
      </c>
      <c r="AB202">
        <v>130.1</v>
      </c>
      <c r="AC202">
        <v>133.19999999999999</v>
      </c>
      <c r="AD202">
        <v>139.80000000000001</v>
      </c>
    </row>
    <row r="203" spans="1:30" hidden="1" x14ac:dyDescent="0.3">
      <c r="A203" t="s">
        <v>30</v>
      </c>
      <c r="B203">
        <v>2018</v>
      </c>
      <c r="C203" t="s">
        <v>41</v>
      </c>
      <c r="D203">
        <v>139.19999999999999</v>
      </c>
      <c r="E203">
        <v>148.80000000000001</v>
      </c>
      <c r="F203">
        <v>139.1</v>
      </c>
      <c r="G203">
        <v>143.5</v>
      </c>
      <c r="H203">
        <v>125</v>
      </c>
      <c r="I203">
        <v>154.4</v>
      </c>
      <c r="J203">
        <v>156.30000000000001</v>
      </c>
      <c r="K203">
        <v>126.8</v>
      </c>
      <c r="L203">
        <v>115.4</v>
      </c>
      <c r="M203">
        <v>138.6</v>
      </c>
      <c r="N203">
        <v>133.80000000000001</v>
      </c>
      <c r="O203">
        <v>155.19999999999999</v>
      </c>
      <c r="P203">
        <v>142.69999999999999</v>
      </c>
      <c r="Q203">
        <v>156.4</v>
      </c>
      <c r="R203">
        <v>152.1</v>
      </c>
      <c r="S203">
        <v>145.80000000000001</v>
      </c>
      <c r="T203">
        <v>151.30000000000001</v>
      </c>
      <c r="U203" t="s">
        <v>32</v>
      </c>
      <c r="V203">
        <v>147.69999999999999</v>
      </c>
      <c r="W203">
        <v>143.80000000000001</v>
      </c>
      <c r="X203">
        <v>139.4</v>
      </c>
      <c r="Y203">
        <v>128.30000000000001</v>
      </c>
      <c r="Z203">
        <v>138.6</v>
      </c>
      <c r="AA203">
        <v>146.9</v>
      </c>
      <c r="AB203">
        <v>131.30000000000001</v>
      </c>
      <c r="AC203">
        <v>136.6</v>
      </c>
      <c r="AD203">
        <v>142.5</v>
      </c>
    </row>
    <row r="204" spans="1:30" hidden="1" x14ac:dyDescent="0.3">
      <c r="A204" t="s">
        <v>33</v>
      </c>
      <c r="B204">
        <v>2018</v>
      </c>
      <c r="C204" t="s">
        <v>41</v>
      </c>
      <c r="D204">
        <v>136.5</v>
      </c>
      <c r="E204">
        <v>146.4</v>
      </c>
      <c r="F204">
        <v>136.6</v>
      </c>
      <c r="G204">
        <v>141.19999999999999</v>
      </c>
      <c r="H204">
        <v>117.4</v>
      </c>
      <c r="I204">
        <v>146.30000000000001</v>
      </c>
      <c r="J204">
        <v>157.30000000000001</v>
      </c>
      <c r="K204">
        <v>113.6</v>
      </c>
      <c r="L204">
        <v>113.3</v>
      </c>
      <c r="M204">
        <v>141.1</v>
      </c>
      <c r="N204">
        <v>127.4</v>
      </c>
      <c r="O204">
        <v>150.4</v>
      </c>
      <c r="P204">
        <v>140.1</v>
      </c>
      <c r="Q204">
        <v>162.1</v>
      </c>
      <c r="R204">
        <v>140</v>
      </c>
      <c r="S204">
        <v>129</v>
      </c>
      <c r="T204">
        <v>138.30000000000001</v>
      </c>
      <c r="U204">
        <v>144.6</v>
      </c>
      <c r="V204">
        <v>129.80000000000001</v>
      </c>
      <c r="W204">
        <v>134.4</v>
      </c>
      <c r="X204">
        <v>134.9</v>
      </c>
      <c r="Y204">
        <v>120.7</v>
      </c>
      <c r="Z204">
        <v>129.80000000000001</v>
      </c>
      <c r="AA204">
        <v>145.30000000000001</v>
      </c>
      <c r="AB204">
        <v>128.30000000000001</v>
      </c>
      <c r="AC204">
        <v>131</v>
      </c>
      <c r="AD204">
        <v>138</v>
      </c>
    </row>
    <row r="205" spans="1:30" hidden="1" x14ac:dyDescent="0.3">
      <c r="A205" t="s">
        <v>34</v>
      </c>
      <c r="B205">
        <v>2018</v>
      </c>
      <c r="C205" t="s">
        <v>41</v>
      </c>
      <c r="D205">
        <v>138.30000000000001</v>
      </c>
      <c r="E205">
        <v>148</v>
      </c>
      <c r="F205">
        <v>138.1</v>
      </c>
      <c r="G205">
        <v>142.6</v>
      </c>
      <c r="H205">
        <v>122.2</v>
      </c>
      <c r="I205">
        <v>150.6</v>
      </c>
      <c r="J205">
        <v>156.6</v>
      </c>
      <c r="K205">
        <v>122.4</v>
      </c>
      <c r="L205">
        <v>114.7</v>
      </c>
      <c r="M205">
        <v>139.4</v>
      </c>
      <c r="N205">
        <v>131.1</v>
      </c>
      <c r="O205">
        <v>153</v>
      </c>
      <c r="P205">
        <v>141.69999999999999</v>
      </c>
      <c r="Q205">
        <v>157.9</v>
      </c>
      <c r="R205">
        <v>147.30000000000001</v>
      </c>
      <c r="S205">
        <v>138.80000000000001</v>
      </c>
      <c r="T205">
        <v>146.1</v>
      </c>
      <c r="U205">
        <v>144.6</v>
      </c>
      <c r="V205">
        <v>140.9</v>
      </c>
      <c r="W205">
        <v>139.4</v>
      </c>
      <c r="X205">
        <v>137.69999999999999</v>
      </c>
      <c r="Y205">
        <v>124.3</v>
      </c>
      <c r="Z205">
        <v>133.6</v>
      </c>
      <c r="AA205">
        <v>146</v>
      </c>
      <c r="AB205">
        <v>130.1</v>
      </c>
      <c r="AC205">
        <v>133.9</v>
      </c>
      <c r="AD205">
        <v>140.4</v>
      </c>
    </row>
    <row r="206" spans="1:30" hidden="1" x14ac:dyDescent="0.3">
      <c r="A206" t="s">
        <v>30</v>
      </c>
      <c r="B206">
        <v>2018</v>
      </c>
      <c r="C206" t="s">
        <v>42</v>
      </c>
      <c r="D206">
        <v>139.4</v>
      </c>
      <c r="E206">
        <v>147.19999999999999</v>
      </c>
      <c r="F206">
        <v>136.6</v>
      </c>
      <c r="G206">
        <v>143.69999999999999</v>
      </c>
      <c r="H206">
        <v>124.6</v>
      </c>
      <c r="I206">
        <v>150.1</v>
      </c>
      <c r="J206">
        <v>149.4</v>
      </c>
      <c r="K206">
        <v>125.4</v>
      </c>
      <c r="L206">
        <v>114.4</v>
      </c>
      <c r="M206">
        <v>138.69999999999999</v>
      </c>
      <c r="N206">
        <v>133.1</v>
      </c>
      <c r="O206">
        <v>155.9</v>
      </c>
      <c r="P206">
        <v>141.30000000000001</v>
      </c>
      <c r="Q206">
        <v>157.69999999999999</v>
      </c>
      <c r="R206">
        <v>152.1</v>
      </c>
      <c r="S206">
        <v>146.1</v>
      </c>
      <c r="T206">
        <v>151.30000000000001</v>
      </c>
      <c r="U206" t="s">
        <v>32</v>
      </c>
      <c r="V206">
        <v>149</v>
      </c>
      <c r="W206">
        <v>144</v>
      </c>
      <c r="X206">
        <v>140</v>
      </c>
      <c r="Y206">
        <v>129.9</v>
      </c>
      <c r="Z206">
        <v>140</v>
      </c>
      <c r="AA206">
        <v>147.6</v>
      </c>
      <c r="AB206">
        <v>132</v>
      </c>
      <c r="AC206">
        <v>137.4</v>
      </c>
      <c r="AD206">
        <v>142.1</v>
      </c>
    </row>
    <row r="207" spans="1:30" hidden="1" x14ac:dyDescent="0.3">
      <c r="A207" t="s">
        <v>33</v>
      </c>
      <c r="B207">
        <v>2018</v>
      </c>
      <c r="C207" t="s">
        <v>42</v>
      </c>
      <c r="D207">
        <v>137</v>
      </c>
      <c r="E207">
        <v>143.1</v>
      </c>
      <c r="F207">
        <v>132.80000000000001</v>
      </c>
      <c r="G207">
        <v>141.5</v>
      </c>
      <c r="H207">
        <v>117.8</v>
      </c>
      <c r="I207">
        <v>140</v>
      </c>
      <c r="J207">
        <v>151.30000000000001</v>
      </c>
      <c r="K207">
        <v>113.5</v>
      </c>
      <c r="L207">
        <v>112.3</v>
      </c>
      <c r="M207">
        <v>141.19999999999999</v>
      </c>
      <c r="N207">
        <v>127.7</v>
      </c>
      <c r="O207">
        <v>151.30000000000001</v>
      </c>
      <c r="P207">
        <v>138.9</v>
      </c>
      <c r="Q207">
        <v>163.30000000000001</v>
      </c>
      <c r="R207">
        <v>140.80000000000001</v>
      </c>
      <c r="S207">
        <v>129.30000000000001</v>
      </c>
      <c r="T207">
        <v>139.1</v>
      </c>
      <c r="U207">
        <v>145.30000000000001</v>
      </c>
      <c r="V207">
        <v>131.19999999999999</v>
      </c>
      <c r="W207">
        <v>134.9</v>
      </c>
      <c r="X207">
        <v>135.69999999999999</v>
      </c>
      <c r="Y207">
        <v>122.5</v>
      </c>
      <c r="Z207">
        <v>130.19999999999999</v>
      </c>
      <c r="AA207">
        <v>145.19999999999999</v>
      </c>
      <c r="AB207">
        <v>129.30000000000001</v>
      </c>
      <c r="AC207">
        <v>131.9</v>
      </c>
      <c r="AD207">
        <v>138.1</v>
      </c>
    </row>
    <row r="208" spans="1:30" hidden="1" x14ac:dyDescent="0.3">
      <c r="A208" t="s">
        <v>34</v>
      </c>
      <c r="B208">
        <v>2018</v>
      </c>
      <c r="C208" t="s">
        <v>42</v>
      </c>
      <c r="D208">
        <v>138.6</v>
      </c>
      <c r="E208">
        <v>145.80000000000001</v>
      </c>
      <c r="F208">
        <v>135.1</v>
      </c>
      <c r="G208">
        <v>142.9</v>
      </c>
      <c r="H208">
        <v>122.1</v>
      </c>
      <c r="I208">
        <v>145.4</v>
      </c>
      <c r="J208">
        <v>150</v>
      </c>
      <c r="K208">
        <v>121.4</v>
      </c>
      <c r="L208">
        <v>113.7</v>
      </c>
      <c r="M208">
        <v>139.5</v>
      </c>
      <c r="N208">
        <v>130.80000000000001</v>
      </c>
      <c r="O208">
        <v>153.80000000000001</v>
      </c>
      <c r="P208">
        <v>140.4</v>
      </c>
      <c r="Q208">
        <v>159.19999999999999</v>
      </c>
      <c r="R208">
        <v>147.69999999999999</v>
      </c>
      <c r="S208">
        <v>139.1</v>
      </c>
      <c r="T208">
        <v>146.5</v>
      </c>
      <c r="U208">
        <v>145.30000000000001</v>
      </c>
      <c r="V208">
        <v>142.30000000000001</v>
      </c>
      <c r="W208">
        <v>139.69999999999999</v>
      </c>
      <c r="X208">
        <v>138.4</v>
      </c>
      <c r="Y208">
        <v>126</v>
      </c>
      <c r="Z208">
        <v>134.5</v>
      </c>
      <c r="AA208">
        <v>146.19999999999999</v>
      </c>
      <c r="AB208">
        <v>130.9</v>
      </c>
      <c r="AC208">
        <v>134.69999999999999</v>
      </c>
      <c r="AD208">
        <v>140.19999999999999</v>
      </c>
    </row>
    <row r="209" spans="1:30" hidden="1" x14ac:dyDescent="0.3">
      <c r="A209" t="s">
        <v>30</v>
      </c>
      <c r="B209">
        <v>2018</v>
      </c>
      <c r="C209" t="s">
        <v>43</v>
      </c>
      <c r="D209">
        <v>139.30000000000001</v>
      </c>
      <c r="E209">
        <v>147.6</v>
      </c>
      <c r="F209">
        <v>134.6</v>
      </c>
      <c r="G209">
        <v>141.9</v>
      </c>
      <c r="H209">
        <v>123.5</v>
      </c>
      <c r="I209">
        <v>144.5</v>
      </c>
      <c r="J209">
        <v>147.6</v>
      </c>
      <c r="K209">
        <v>121.4</v>
      </c>
      <c r="L209">
        <v>112.3</v>
      </c>
      <c r="M209">
        <v>139.5</v>
      </c>
      <c r="N209">
        <v>134.6</v>
      </c>
      <c r="O209">
        <v>155.19999999999999</v>
      </c>
      <c r="P209">
        <v>140.19999999999999</v>
      </c>
      <c r="Q209">
        <v>159.6</v>
      </c>
      <c r="R209">
        <v>150.69999999999999</v>
      </c>
      <c r="S209">
        <v>144.5</v>
      </c>
      <c r="T209">
        <v>149.80000000000001</v>
      </c>
      <c r="U209" t="s">
        <v>32</v>
      </c>
      <c r="V209">
        <v>149.69999999999999</v>
      </c>
      <c r="W209">
        <v>147.5</v>
      </c>
      <c r="X209">
        <v>144.80000000000001</v>
      </c>
      <c r="Y209">
        <v>130.80000000000001</v>
      </c>
      <c r="Z209">
        <v>140.1</v>
      </c>
      <c r="AA209">
        <v>148</v>
      </c>
      <c r="AB209">
        <v>134.4</v>
      </c>
      <c r="AC209">
        <v>139.80000000000001</v>
      </c>
      <c r="AD209">
        <v>142.19999999999999</v>
      </c>
    </row>
    <row r="210" spans="1:30" hidden="1" x14ac:dyDescent="0.3">
      <c r="A210" t="s">
        <v>33</v>
      </c>
      <c r="B210">
        <v>2018</v>
      </c>
      <c r="C210" t="s">
        <v>43</v>
      </c>
      <c r="D210">
        <v>137.6</v>
      </c>
      <c r="E210">
        <v>144.9</v>
      </c>
      <c r="F210">
        <v>133.5</v>
      </c>
      <c r="G210">
        <v>141.5</v>
      </c>
      <c r="H210">
        <v>118</v>
      </c>
      <c r="I210">
        <v>139.5</v>
      </c>
      <c r="J210">
        <v>153</v>
      </c>
      <c r="K210">
        <v>113.2</v>
      </c>
      <c r="L210">
        <v>112.8</v>
      </c>
      <c r="M210">
        <v>141.1</v>
      </c>
      <c r="N210">
        <v>127.6</v>
      </c>
      <c r="O210">
        <v>152</v>
      </c>
      <c r="P210">
        <v>139.4</v>
      </c>
      <c r="Q210">
        <v>164</v>
      </c>
      <c r="R210">
        <v>141.5</v>
      </c>
      <c r="S210">
        <v>129.80000000000001</v>
      </c>
      <c r="T210">
        <v>139.69999999999999</v>
      </c>
      <c r="U210">
        <v>146.30000000000001</v>
      </c>
      <c r="V210">
        <v>133.4</v>
      </c>
      <c r="W210">
        <v>135.1</v>
      </c>
      <c r="X210">
        <v>136.19999999999999</v>
      </c>
      <c r="Y210">
        <v>123.3</v>
      </c>
      <c r="Z210">
        <v>130.69999999999999</v>
      </c>
      <c r="AA210">
        <v>145.5</v>
      </c>
      <c r="AB210">
        <v>130.4</v>
      </c>
      <c r="AC210">
        <v>132.5</v>
      </c>
      <c r="AD210">
        <v>138.9</v>
      </c>
    </row>
    <row r="211" spans="1:30" hidden="1" x14ac:dyDescent="0.3">
      <c r="A211" t="s">
        <v>34</v>
      </c>
      <c r="B211">
        <v>2018</v>
      </c>
      <c r="C211" t="s">
        <v>43</v>
      </c>
      <c r="D211">
        <v>137.4</v>
      </c>
      <c r="E211">
        <v>149.5</v>
      </c>
      <c r="F211">
        <v>137.30000000000001</v>
      </c>
      <c r="G211">
        <v>141.9</v>
      </c>
      <c r="H211">
        <v>121.1</v>
      </c>
      <c r="I211">
        <v>142.5</v>
      </c>
      <c r="J211">
        <v>146.69999999999999</v>
      </c>
      <c r="K211">
        <v>119.1</v>
      </c>
      <c r="L211">
        <v>111.9</v>
      </c>
      <c r="M211">
        <v>141</v>
      </c>
      <c r="N211">
        <v>133.6</v>
      </c>
      <c r="O211">
        <v>154.5</v>
      </c>
      <c r="P211">
        <v>139.69999999999999</v>
      </c>
      <c r="Q211">
        <v>162.6</v>
      </c>
      <c r="R211">
        <v>148</v>
      </c>
      <c r="S211">
        <v>139.19999999999999</v>
      </c>
      <c r="T211">
        <v>146.80000000000001</v>
      </c>
      <c r="U211">
        <v>146.9</v>
      </c>
      <c r="V211">
        <v>145.30000000000001</v>
      </c>
      <c r="W211">
        <v>142.19999999999999</v>
      </c>
      <c r="X211">
        <v>142.1</v>
      </c>
      <c r="Y211">
        <v>125.5</v>
      </c>
      <c r="Z211">
        <v>136.5</v>
      </c>
      <c r="AA211">
        <v>147.80000000000001</v>
      </c>
      <c r="AB211">
        <v>132</v>
      </c>
      <c r="AC211">
        <v>136.30000000000001</v>
      </c>
      <c r="AD211">
        <v>140.80000000000001</v>
      </c>
    </row>
    <row r="212" spans="1:30" hidden="1" x14ac:dyDescent="0.3">
      <c r="A212" t="s">
        <v>30</v>
      </c>
      <c r="B212">
        <v>2018</v>
      </c>
      <c r="C212" t="s">
        <v>45</v>
      </c>
      <c r="D212">
        <v>137.1</v>
      </c>
      <c r="E212">
        <v>150.80000000000001</v>
      </c>
      <c r="F212">
        <v>136.69999999999999</v>
      </c>
      <c r="G212">
        <v>141.9</v>
      </c>
      <c r="H212">
        <v>122.8</v>
      </c>
      <c r="I212">
        <v>143.9</v>
      </c>
      <c r="J212">
        <v>147.5</v>
      </c>
      <c r="K212">
        <v>121</v>
      </c>
      <c r="L212">
        <v>111.6</v>
      </c>
      <c r="M212">
        <v>140.6</v>
      </c>
      <c r="N212">
        <v>137.5</v>
      </c>
      <c r="O212">
        <v>156.1</v>
      </c>
      <c r="P212">
        <v>140</v>
      </c>
      <c r="Q212">
        <v>161.9</v>
      </c>
      <c r="R212">
        <v>151.69999999999999</v>
      </c>
      <c r="S212">
        <v>145.5</v>
      </c>
      <c r="T212">
        <v>150.80000000000001</v>
      </c>
      <c r="U212" t="s">
        <v>32</v>
      </c>
      <c r="V212">
        <v>150.30000000000001</v>
      </c>
      <c r="W212">
        <v>148</v>
      </c>
      <c r="X212">
        <v>145.4</v>
      </c>
      <c r="Y212">
        <v>130.30000000000001</v>
      </c>
      <c r="Z212">
        <v>143.1</v>
      </c>
      <c r="AA212">
        <v>150.19999999999999</v>
      </c>
      <c r="AB212">
        <v>133.1</v>
      </c>
      <c r="AC212">
        <v>140.1</v>
      </c>
      <c r="AD212">
        <v>142.4</v>
      </c>
    </row>
    <row r="213" spans="1:30" hidden="1" x14ac:dyDescent="0.3">
      <c r="A213" t="s">
        <v>33</v>
      </c>
      <c r="B213">
        <v>2018</v>
      </c>
      <c r="C213" t="s">
        <v>45</v>
      </c>
      <c r="D213">
        <v>138.1</v>
      </c>
      <c r="E213">
        <v>146.30000000000001</v>
      </c>
      <c r="F213">
        <v>137.80000000000001</v>
      </c>
      <c r="G213">
        <v>141.6</v>
      </c>
      <c r="H213">
        <v>118.1</v>
      </c>
      <c r="I213">
        <v>141.5</v>
      </c>
      <c r="J213">
        <v>145.19999999999999</v>
      </c>
      <c r="K213">
        <v>115.3</v>
      </c>
      <c r="L213">
        <v>112.5</v>
      </c>
      <c r="M213">
        <v>141.4</v>
      </c>
      <c r="N213">
        <v>128</v>
      </c>
      <c r="O213">
        <v>152.6</v>
      </c>
      <c r="P213">
        <v>139.1</v>
      </c>
      <c r="Q213">
        <v>164.4</v>
      </c>
      <c r="R213">
        <v>142.4</v>
      </c>
      <c r="S213">
        <v>130.19999999999999</v>
      </c>
      <c r="T213">
        <v>140.5</v>
      </c>
      <c r="U213">
        <v>146.9</v>
      </c>
      <c r="V213">
        <v>136.69999999999999</v>
      </c>
      <c r="W213">
        <v>135.80000000000001</v>
      </c>
      <c r="X213">
        <v>136.80000000000001</v>
      </c>
      <c r="Y213">
        <v>121.2</v>
      </c>
      <c r="Z213">
        <v>131.30000000000001</v>
      </c>
      <c r="AA213">
        <v>146.1</v>
      </c>
      <c r="AB213">
        <v>130.5</v>
      </c>
      <c r="AC213">
        <v>132.19999999999999</v>
      </c>
      <c r="AD213">
        <v>139</v>
      </c>
    </row>
    <row r="214" spans="1:30" hidden="1" x14ac:dyDescent="0.3">
      <c r="A214" t="s">
        <v>34</v>
      </c>
      <c r="B214">
        <v>2018</v>
      </c>
      <c r="C214" t="s">
        <v>45</v>
      </c>
      <c r="D214">
        <v>137.4</v>
      </c>
      <c r="E214">
        <v>149.19999999999999</v>
      </c>
      <c r="F214">
        <v>137.1</v>
      </c>
      <c r="G214">
        <v>141.80000000000001</v>
      </c>
      <c r="H214">
        <v>121.1</v>
      </c>
      <c r="I214">
        <v>142.80000000000001</v>
      </c>
      <c r="J214">
        <v>146.69999999999999</v>
      </c>
      <c r="K214">
        <v>119.1</v>
      </c>
      <c r="L214">
        <v>111.9</v>
      </c>
      <c r="M214">
        <v>140.9</v>
      </c>
      <c r="N214">
        <v>133.5</v>
      </c>
      <c r="O214">
        <v>154.5</v>
      </c>
      <c r="P214">
        <v>139.69999999999999</v>
      </c>
      <c r="Q214">
        <v>162.6</v>
      </c>
      <c r="R214">
        <v>148</v>
      </c>
      <c r="S214">
        <v>139.1</v>
      </c>
      <c r="T214">
        <v>146.69999999999999</v>
      </c>
      <c r="U214">
        <v>146.9</v>
      </c>
      <c r="V214">
        <v>145.1</v>
      </c>
      <c r="W214">
        <v>142.19999999999999</v>
      </c>
      <c r="X214">
        <v>142.1</v>
      </c>
      <c r="Y214">
        <v>125.5</v>
      </c>
      <c r="Z214">
        <v>136.5</v>
      </c>
      <c r="AA214">
        <v>147.80000000000001</v>
      </c>
      <c r="AB214">
        <v>132</v>
      </c>
      <c r="AC214">
        <v>136.30000000000001</v>
      </c>
      <c r="AD214">
        <v>140.80000000000001</v>
      </c>
    </row>
    <row r="215" spans="1:30" hidden="1" x14ac:dyDescent="0.3">
      <c r="A215" t="s">
        <v>30</v>
      </c>
      <c r="B215">
        <v>2018</v>
      </c>
      <c r="C215" t="s">
        <v>46</v>
      </c>
      <c r="D215">
        <v>137.1</v>
      </c>
      <c r="E215">
        <v>151.9</v>
      </c>
      <c r="F215">
        <v>137.4</v>
      </c>
      <c r="G215">
        <v>142.4</v>
      </c>
      <c r="H215">
        <v>124.2</v>
      </c>
      <c r="I215">
        <v>140.19999999999999</v>
      </c>
      <c r="J215">
        <v>136.6</v>
      </c>
      <c r="K215">
        <v>120.9</v>
      </c>
      <c r="L215">
        <v>109.9</v>
      </c>
      <c r="M215">
        <v>140.19999999999999</v>
      </c>
      <c r="N215">
        <v>137.80000000000001</v>
      </c>
      <c r="O215">
        <v>156</v>
      </c>
      <c r="P215">
        <v>138.5</v>
      </c>
      <c r="Q215">
        <v>162.4</v>
      </c>
      <c r="R215">
        <v>151.6</v>
      </c>
      <c r="S215">
        <v>145.9</v>
      </c>
      <c r="T215">
        <v>150.80000000000001</v>
      </c>
      <c r="U215" t="s">
        <v>32</v>
      </c>
      <c r="V215">
        <v>149</v>
      </c>
      <c r="W215">
        <v>149.5</v>
      </c>
      <c r="X215">
        <v>149.6</v>
      </c>
      <c r="Y215">
        <v>128.9</v>
      </c>
      <c r="Z215">
        <v>143.30000000000001</v>
      </c>
      <c r="AA215">
        <v>155.1</v>
      </c>
      <c r="AB215">
        <v>133.19999999999999</v>
      </c>
      <c r="AC215">
        <v>141.6</v>
      </c>
      <c r="AD215">
        <v>141.9</v>
      </c>
    </row>
    <row r="216" spans="1:30" hidden="1" x14ac:dyDescent="0.3">
      <c r="A216" t="s">
        <v>33</v>
      </c>
      <c r="B216">
        <v>2018</v>
      </c>
      <c r="C216" t="s">
        <v>46</v>
      </c>
      <c r="D216">
        <v>138.5</v>
      </c>
      <c r="E216">
        <v>147.80000000000001</v>
      </c>
      <c r="F216">
        <v>141.1</v>
      </c>
      <c r="G216">
        <v>141.6</v>
      </c>
      <c r="H216">
        <v>118.1</v>
      </c>
      <c r="I216">
        <v>138.5</v>
      </c>
      <c r="J216">
        <v>132.4</v>
      </c>
      <c r="K216">
        <v>117.5</v>
      </c>
      <c r="L216">
        <v>111</v>
      </c>
      <c r="M216">
        <v>141.5</v>
      </c>
      <c r="N216">
        <v>128.1</v>
      </c>
      <c r="O216">
        <v>152.9</v>
      </c>
      <c r="P216">
        <v>137.6</v>
      </c>
      <c r="Q216">
        <v>164.6</v>
      </c>
      <c r="R216">
        <v>142.69999999999999</v>
      </c>
      <c r="S216">
        <v>130.30000000000001</v>
      </c>
      <c r="T216">
        <v>140.80000000000001</v>
      </c>
      <c r="U216">
        <v>146.5</v>
      </c>
      <c r="V216">
        <v>132.4</v>
      </c>
      <c r="W216">
        <v>136.19999999999999</v>
      </c>
      <c r="X216">
        <v>137.30000000000001</v>
      </c>
      <c r="Y216">
        <v>118.8</v>
      </c>
      <c r="Z216">
        <v>131.69999999999999</v>
      </c>
      <c r="AA216">
        <v>146.5</v>
      </c>
      <c r="AB216">
        <v>130.80000000000001</v>
      </c>
      <c r="AC216">
        <v>131.69999999999999</v>
      </c>
      <c r="AD216">
        <v>138</v>
      </c>
    </row>
    <row r="217" spans="1:30" hidden="1" x14ac:dyDescent="0.3">
      <c r="A217" t="s">
        <v>34</v>
      </c>
      <c r="B217">
        <v>2018</v>
      </c>
      <c r="C217" t="s">
        <v>46</v>
      </c>
      <c r="D217">
        <v>137.5</v>
      </c>
      <c r="E217">
        <v>150.5</v>
      </c>
      <c r="F217">
        <v>138.80000000000001</v>
      </c>
      <c r="G217">
        <v>142.1</v>
      </c>
      <c r="H217">
        <v>122</v>
      </c>
      <c r="I217">
        <v>139.4</v>
      </c>
      <c r="J217">
        <v>135.19999999999999</v>
      </c>
      <c r="K217">
        <v>119.8</v>
      </c>
      <c r="L217">
        <v>110.3</v>
      </c>
      <c r="M217">
        <v>140.6</v>
      </c>
      <c r="N217">
        <v>133.80000000000001</v>
      </c>
      <c r="O217">
        <v>154.6</v>
      </c>
      <c r="P217">
        <v>138.19999999999999</v>
      </c>
      <c r="Q217">
        <v>163</v>
      </c>
      <c r="R217">
        <v>148.1</v>
      </c>
      <c r="S217">
        <v>139.4</v>
      </c>
      <c r="T217">
        <v>146.80000000000001</v>
      </c>
      <c r="U217">
        <v>146.5</v>
      </c>
      <c r="V217">
        <v>142.69999999999999</v>
      </c>
      <c r="W217">
        <v>143.19999999999999</v>
      </c>
      <c r="X217">
        <v>144.9</v>
      </c>
      <c r="Y217">
        <v>123.6</v>
      </c>
      <c r="Z217">
        <v>136.80000000000001</v>
      </c>
      <c r="AA217">
        <v>150.1</v>
      </c>
      <c r="AB217">
        <v>132.19999999999999</v>
      </c>
      <c r="AC217">
        <v>136.80000000000001</v>
      </c>
      <c r="AD217">
        <v>140.1</v>
      </c>
    </row>
    <row r="218" spans="1:30" hidden="1" x14ac:dyDescent="0.3">
      <c r="A218" t="s">
        <v>30</v>
      </c>
      <c r="B218">
        <v>2019</v>
      </c>
      <c r="C218" t="s">
        <v>31</v>
      </c>
      <c r="D218">
        <v>136.6</v>
      </c>
      <c r="E218">
        <v>152.5</v>
      </c>
      <c r="F218">
        <v>138.19999999999999</v>
      </c>
      <c r="G218">
        <v>142.4</v>
      </c>
      <c r="H218">
        <v>123.9</v>
      </c>
      <c r="I218">
        <v>135.5</v>
      </c>
      <c r="J218">
        <v>131.69999999999999</v>
      </c>
      <c r="K218">
        <v>121.3</v>
      </c>
      <c r="L218">
        <v>108.4</v>
      </c>
      <c r="M218">
        <v>138.9</v>
      </c>
      <c r="N218">
        <v>137</v>
      </c>
      <c r="O218">
        <v>155.80000000000001</v>
      </c>
      <c r="P218">
        <v>137.4</v>
      </c>
      <c r="Q218">
        <v>162.69999999999999</v>
      </c>
      <c r="R218">
        <v>150.6</v>
      </c>
      <c r="S218">
        <v>145.1</v>
      </c>
      <c r="T218">
        <v>149.9</v>
      </c>
      <c r="U218" t="s">
        <v>32</v>
      </c>
      <c r="V218">
        <v>146.19999999999999</v>
      </c>
      <c r="W218">
        <v>150.1</v>
      </c>
      <c r="X218">
        <v>149.6</v>
      </c>
      <c r="Y218">
        <v>128.6</v>
      </c>
      <c r="Z218">
        <v>142.9</v>
      </c>
      <c r="AA218">
        <v>155.19999999999999</v>
      </c>
      <c r="AB218">
        <v>133.5</v>
      </c>
      <c r="AC218">
        <v>141.69999999999999</v>
      </c>
      <c r="AD218">
        <v>141</v>
      </c>
    </row>
    <row r="219" spans="1:30" hidden="1" x14ac:dyDescent="0.3">
      <c r="A219" t="s">
        <v>33</v>
      </c>
      <c r="B219">
        <v>2019</v>
      </c>
      <c r="C219" t="s">
        <v>31</v>
      </c>
      <c r="D219">
        <v>138.30000000000001</v>
      </c>
      <c r="E219">
        <v>149.4</v>
      </c>
      <c r="F219">
        <v>143.5</v>
      </c>
      <c r="G219">
        <v>141.69999999999999</v>
      </c>
      <c r="H219">
        <v>118.1</v>
      </c>
      <c r="I219">
        <v>135.19999999999999</v>
      </c>
      <c r="J219">
        <v>130.5</v>
      </c>
      <c r="K219">
        <v>118.2</v>
      </c>
      <c r="L219">
        <v>110.4</v>
      </c>
      <c r="M219">
        <v>140.4</v>
      </c>
      <c r="N219">
        <v>128.1</v>
      </c>
      <c r="O219">
        <v>153.19999999999999</v>
      </c>
      <c r="P219">
        <v>137.30000000000001</v>
      </c>
      <c r="Q219">
        <v>164.7</v>
      </c>
      <c r="R219">
        <v>143</v>
      </c>
      <c r="S219">
        <v>130.4</v>
      </c>
      <c r="T219">
        <v>141.1</v>
      </c>
      <c r="U219">
        <v>147.69999999999999</v>
      </c>
      <c r="V219">
        <v>128.6</v>
      </c>
      <c r="W219">
        <v>136.30000000000001</v>
      </c>
      <c r="X219">
        <v>137.80000000000001</v>
      </c>
      <c r="Y219">
        <v>118.6</v>
      </c>
      <c r="Z219">
        <v>131.9</v>
      </c>
      <c r="AA219">
        <v>146.6</v>
      </c>
      <c r="AB219">
        <v>131.69999999999999</v>
      </c>
      <c r="AC219">
        <v>131.80000000000001</v>
      </c>
      <c r="AD219">
        <v>138</v>
      </c>
    </row>
    <row r="220" spans="1:30" hidden="1" x14ac:dyDescent="0.3">
      <c r="A220" t="s">
        <v>34</v>
      </c>
      <c r="B220">
        <v>2019</v>
      </c>
      <c r="C220" t="s">
        <v>31</v>
      </c>
      <c r="D220">
        <v>137.1</v>
      </c>
      <c r="E220">
        <v>151.4</v>
      </c>
      <c r="F220">
        <v>140.19999999999999</v>
      </c>
      <c r="G220">
        <v>142.1</v>
      </c>
      <c r="H220">
        <v>121.8</v>
      </c>
      <c r="I220">
        <v>135.4</v>
      </c>
      <c r="J220">
        <v>131.30000000000001</v>
      </c>
      <c r="K220">
        <v>120.3</v>
      </c>
      <c r="L220">
        <v>109.1</v>
      </c>
      <c r="M220">
        <v>139.4</v>
      </c>
      <c r="N220">
        <v>133.30000000000001</v>
      </c>
      <c r="O220">
        <v>154.6</v>
      </c>
      <c r="P220">
        <v>137.4</v>
      </c>
      <c r="Q220">
        <v>163.19999999999999</v>
      </c>
      <c r="R220">
        <v>147.6</v>
      </c>
      <c r="S220">
        <v>139</v>
      </c>
      <c r="T220">
        <v>146.4</v>
      </c>
      <c r="U220">
        <v>147.69999999999999</v>
      </c>
      <c r="V220">
        <v>139.5</v>
      </c>
      <c r="W220">
        <v>143.6</v>
      </c>
      <c r="X220">
        <v>145.1</v>
      </c>
      <c r="Y220">
        <v>123.3</v>
      </c>
      <c r="Z220">
        <v>136.69999999999999</v>
      </c>
      <c r="AA220">
        <v>150.19999999999999</v>
      </c>
      <c r="AB220">
        <v>132.80000000000001</v>
      </c>
      <c r="AC220">
        <v>136.9</v>
      </c>
      <c r="AD220">
        <v>139.6</v>
      </c>
    </row>
    <row r="221" spans="1:30" hidden="1" x14ac:dyDescent="0.3">
      <c r="A221" t="s">
        <v>30</v>
      </c>
      <c r="B221">
        <v>2019</v>
      </c>
      <c r="C221" t="s">
        <v>35</v>
      </c>
      <c r="D221">
        <v>136.80000000000001</v>
      </c>
      <c r="E221">
        <v>153</v>
      </c>
      <c r="F221">
        <v>139.1</v>
      </c>
      <c r="G221">
        <v>142.5</v>
      </c>
      <c r="H221">
        <v>124.1</v>
      </c>
      <c r="I221">
        <v>135.80000000000001</v>
      </c>
      <c r="J221">
        <v>128.69999999999999</v>
      </c>
      <c r="K221">
        <v>121.5</v>
      </c>
      <c r="L221">
        <v>108.3</v>
      </c>
      <c r="M221">
        <v>139.19999999999999</v>
      </c>
      <c r="N221">
        <v>137.4</v>
      </c>
      <c r="O221">
        <v>156.19999999999999</v>
      </c>
      <c r="P221">
        <v>137.19999999999999</v>
      </c>
      <c r="Q221">
        <v>162.80000000000001</v>
      </c>
      <c r="R221">
        <v>150.5</v>
      </c>
      <c r="S221">
        <v>146.1</v>
      </c>
      <c r="T221">
        <v>149.9</v>
      </c>
      <c r="U221" t="s">
        <v>32</v>
      </c>
      <c r="V221">
        <v>145.30000000000001</v>
      </c>
      <c r="W221">
        <v>150.1</v>
      </c>
      <c r="X221">
        <v>149.9</v>
      </c>
      <c r="Y221">
        <v>129.19999999999999</v>
      </c>
      <c r="Z221">
        <v>143.4</v>
      </c>
      <c r="AA221">
        <v>155.5</v>
      </c>
      <c r="AB221">
        <v>134.9</v>
      </c>
      <c r="AC221">
        <v>142.19999999999999</v>
      </c>
      <c r="AD221">
        <v>141</v>
      </c>
    </row>
    <row r="222" spans="1:30" hidden="1" x14ac:dyDescent="0.3">
      <c r="A222" t="s">
        <v>33</v>
      </c>
      <c r="B222">
        <v>2019</v>
      </c>
      <c r="C222" t="s">
        <v>35</v>
      </c>
      <c r="D222">
        <v>139.4</v>
      </c>
      <c r="E222">
        <v>150.1</v>
      </c>
      <c r="F222">
        <v>145.30000000000001</v>
      </c>
      <c r="G222">
        <v>141.69999999999999</v>
      </c>
      <c r="H222">
        <v>118.4</v>
      </c>
      <c r="I222">
        <v>137</v>
      </c>
      <c r="J222">
        <v>131.6</v>
      </c>
      <c r="K222">
        <v>119.9</v>
      </c>
      <c r="L222">
        <v>110.4</v>
      </c>
      <c r="M222">
        <v>140.80000000000001</v>
      </c>
      <c r="N222">
        <v>128.30000000000001</v>
      </c>
      <c r="O222">
        <v>153.5</v>
      </c>
      <c r="P222">
        <v>138</v>
      </c>
      <c r="Q222">
        <v>164.9</v>
      </c>
      <c r="R222">
        <v>143.30000000000001</v>
      </c>
      <c r="S222">
        <v>130.80000000000001</v>
      </c>
      <c r="T222">
        <v>141.4</v>
      </c>
      <c r="U222">
        <v>148.5</v>
      </c>
      <c r="V222">
        <v>127.1</v>
      </c>
      <c r="W222">
        <v>136.6</v>
      </c>
      <c r="X222">
        <v>138.5</v>
      </c>
      <c r="Y222">
        <v>119.2</v>
      </c>
      <c r="Z222">
        <v>132.19999999999999</v>
      </c>
      <c r="AA222">
        <v>146.6</v>
      </c>
      <c r="AB222">
        <v>133</v>
      </c>
      <c r="AC222">
        <v>132.4</v>
      </c>
      <c r="AD222">
        <v>138.6</v>
      </c>
    </row>
    <row r="223" spans="1:30" hidden="1" x14ac:dyDescent="0.3">
      <c r="A223" t="s">
        <v>34</v>
      </c>
      <c r="B223">
        <v>2019</v>
      </c>
      <c r="C223" t="s">
        <v>35</v>
      </c>
      <c r="D223">
        <v>137.6</v>
      </c>
      <c r="E223">
        <v>152</v>
      </c>
      <c r="F223">
        <v>141.5</v>
      </c>
      <c r="G223">
        <v>142.19999999999999</v>
      </c>
      <c r="H223">
        <v>122</v>
      </c>
      <c r="I223">
        <v>136.4</v>
      </c>
      <c r="J223">
        <v>129.69999999999999</v>
      </c>
      <c r="K223">
        <v>121</v>
      </c>
      <c r="L223">
        <v>109</v>
      </c>
      <c r="M223">
        <v>139.69999999999999</v>
      </c>
      <c r="N223">
        <v>133.6</v>
      </c>
      <c r="O223">
        <v>154.9</v>
      </c>
      <c r="P223">
        <v>137.5</v>
      </c>
      <c r="Q223">
        <v>163.4</v>
      </c>
      <c r="R223">
        <v>147.69999999999999</v>
      </c>
      <c r="S223">
        <v>139.69999999999999</v>
      </c>
      <c r="T223">
        <v>146.5</v>
      </c>
      <c r="U223">
        <v>148.5</v>
      </c>
      <c r="V223">
        <v>138.4</v>
      </c>
      <c r="W223">
        <v>143.69999999999999</v>
      </c>
      <c r="X223">
        <v>145.6</v>
      </c>
      <c r="Y223">
        <v>123.9</v>
      </c>
      <c r="Z223">
        <v>137.1</v>
      </c>
      <c r="AA223">
        <v>150.30000000000001</v>
      </c>
      <c r="AB223">
        <v>134.1</v>
      </c>
      <c r="AC223">
        <v>137.4</v>
      </c>
      <c r="AD223">
        <v>139.9</v>
      </c>
    </row>
    <row r="224" spans="1:30" hidden="1" x14ac:dyDescent="0.3">
      <c r="A224" t="s">
        <v>30</v>
      </c>
      <c r="B224">
        <v>2019</v>
      </c>
      <c r="C224" t="s">
        <v>36</v>
      </c>
      <c r="D224">
        <v>136.9</v>
      </c>
      <c r="E224">
        <v>154.1</v>
      </c>
      <c r="F224">
        <v>138.69999999999999</v>
      </c>
      <c r="G224">
        <v>142.5</v>
      </c>
      <c r="H224">
        <v>124.1</v>
      </c>
      <c r="I224">
        <v>136.1</v>
      </c>
      <c r="J224">
        <v>128.19999999999999</v>
      </c>
      <c r="K224">
        <v>122.3</v>
      </c>
      <c r="L224">
        <v>108.3</v>
      </c>
      <c r="M224">
        <v>138.9</v>
      </c>
      <c r="N224">
        <v>137.4</v>
      </c>
      <c r="O224">
        <v>156.4</v>
      </c>
      <c r="P224">
        <v>137.30000000000001</v>
      </c>
      <c r="Q224">
        <v>162.9</v>
      </c>
      <c r="R224">
        <v>150.80000000000001</v>
      </c>
      <c r="S224">
        <v>146.1</v>
      </c>
      <c r="T224">
        <v>150.1</v>
      </c>
      <c r="U224" t="s">
        <v>32</v>
      </c>
      <c r="V224">
        <v>146.4</v>
      </c>
      <c r="W224">
        <v>150</v>
      </c>
      <c r="X224">
        <v>150.4</v>
      </c>
      <c r="Y224">
        <v>129.9</v>
      </c>
      <c r="Z224">
        <v>143.80000000000001</v>
      </c>
      <c r="AA224">
        <v>155.5</v>
      </c>
      <c r="AB224">
        <v>134</v>
      </c>
      <c r="AC224">
        <v>142.4</v>
      </c>
      <c r="AD224">
        <v>141.19999999999999</v>
      </c>
    </row>
    <row r="225" spans="1:30" hidden="1" x14ac:dyDescent="0.3">
      <c r="A225" t="s">
        <v>33</v>
      </c>
      <c r="B225">
        <v>2019</v>
      </c>
      <c r="C225" t="s">
        <v>36</v>
      </c>
      <c r="D225">
        <v>139.69999999999999</v>
      </c>
      <c r="E225">
        <v>151.1</v>
      </c>
      <c r="F225">
        <v>142.9</v>
      </c>
      <c r="G225">
        <v>141.9</v>
      </c>
      <c r="H225">
        <v>118.4</v>
      </c>
      <c r="I225">
        <v>139.4</v>
      </c>
      <c r="J225">
        <v>141.19999999999999</v>
      </c>
      <c r="K225">
        <v>120.7</v>
      </c>
      <c r="L225">
        <v>110.4</v>
      </c>
      <c r="M225">
        <v>140.69999999999999</v>
      </c>
      <c r="N225">
        <v>128.5</v>
      </c>
      <c r="O225">
        <v>153.9</v>
      </c>
      <c r="P225">
        <v>139.6</v>
      </c>
      <c r="Q225">
        <v>165.3</v>
      </c>
      <c r="R225">
        <v>143.5</v>
      </c>
      <c r="S225">
        <v>131.19999999999999</v>
      </c>
      <c r="T225">
        <v>141.6</v>
      </c>
      <c r="U225">
        <v>149</v>
      </c>
      <c r="V225">
        <v>128.80000000000001</v>
      </c>
      <c r="W225">
        <v>136.80000000000001</v>
      </c>
      <c r="X225">
        <v>139.19999999999999</v>
      </c>
      <c r="Y225">
        <v>119.9</v>
      </c>
      <c r="Z225">
        <v>133</v>
      </c>
      <c r="AA225">
        <v>146.69999999999999</v>
      </c>
      <c r="AB225">
        <v>132.5</v>
      </c>
      <c r="AC225">
        <v>132.80000000000001</v>
      </c>
      <c r="AD225">
        <v>139.5</v>
      </c>
    </row>
    <row r="226" spans="1:30" hidden="1" x14ac:dyDescent="0.3">
      <c r="A226" t="s">
        <v>34</v>
      </c>
      <c r="B226">
        <v>2019</v>
      </c>
      <c r="C226" t="s">
        <v>36</v>
      </c>
      <c r="D226">
        <v>137.80000000000001</v>
      </c>
      <c r="E226">
        <v>153</v>
      </c>
      <c r="F226">
        <v>140.30000000000001</v>
      </c>
      <c r="G226">
        <v>142.30000000000001</v>
      </c>
      <c r="H226">
        <v>122</v>
      </c>
      <c r="I226">
        <v>137.6</v>
      </c>
      <c r="J226">
        <v>132.6</v>
      </c>
      <c r="K226">
        <v>121.8</v>
      </c>
      <c r="L226">
        <v>109</v>
      </c>
      <c r="M226">
        <v>139.5</v>
      </c>
      <c r="N226">
        <v>133.69999999999999</v>
      </c>
      <c r="O226">
        <v>155.19999999999999</v>
      </c>
      <c r="P226">
        <v>138.1</v>
      </c>
      <c r="Q226">
        <v>163.5</v>
      </c>
      <c r="R226">
        <v>147.9</v>
      </c>
      <c r="S226">
        <v>139.9</v>
      </c>
      <c r="T226">
        <v>146.69999999999999</v>
      </c>
      <c r="U226">
        <v>149</v>
      </c>
      <c r="V226">
        <v>139.69999999999999</v>
      </c>
      <c r="W226">
        <v>143.80000000000001</v>
      </c>
      <c r="X226">
        <v>146.19999999999999</v>
      </c>
      <c r="Y226">
        <v>124.6</v>
      </c>
      <c r="Z226">
        <v>137.69999999999999</v>
      </c>
      <c r="AA226">
        <v>150.30000000000001</v>
      </c>
      <c r="AB226">
        <v>133.4</v>
      </c>
      <c r="AC226">
        <v>137.69999999999999</v>
      </c>
      <c r="AD226">
        <v>140.4</v>
      </c>
    </row>
    <row r="227" spans="1:30" hidden="1" x14ac:dyDescent="0.3">
      <c r="A227" t="s">
        <v>30</v>
      </c>
      <c r="B227">
        <v>2019</v>
      </c>
      <c r="C227" t="s">
        <v>38</v>
      </c>
      <c r="D227">
        <v>137.4</v>
      </c>
      <c r="E227">
        <v>159.5</v>
      </c>
      <c r="F227">
        <v>134.5</v>
      </c>
      <c r="G227">
        <v>142.6</v>
      </c>
      <c r="H227">
        <v>124</v>
      </c>
      <c r="I227">
        <v>143.69999999999999</v>
      </c>
      <c r="J227">
        <v>133.4</v>
      </c>
      <c r="K227">
        <v>125.1</v>
      </c>
      <c r="L227">
        <v>109.3</v>
      </c>
      <c r="M227">
        <v>139.30000000000001</v>
      </c>
      <c r="N227">
        <v>137.69999999999999</v>
      </c>
      <c r="O227">
        <v>156.4</v>
      </c>
      <c r="P227">
        <v>139.19999999999999</v>
      </c>
      <c r="Q227">
        <v>163.30000000000001</v>
      </c>
      <c r="R227">
        <v>151.30000000000001</v>
      </c>
      <c r="S227">
        <v>146.6</v>
      </c>
      <c r="T227">
        <v>150.69999999999999</v>
      </c>
      <c r="U227" t="s">
        <v>32</v>
      </c>
      <c r="V227">
        <v>146.9</v>
      </c>
      <c r="W227">
        <v>149.5</v>
      </c>
      <c r="X227">
        <v>151.30000000000001</v>
      </c>
      <c r="Y227">
        <v>130.19999999999999</v>
      </c>
      <c r="Z227">
        <v>145.9</v>
      </c>
      <c r="AA227">
        <v>156.69999999999999</v>
      </c>
      <c r="AB227">
        <v>133.9</v>
      </c>
      <c r="AC227">
        <v>142.9</v>
      </c>
      <c r="AD227">
        <v>142.4</v>
      </c>
    </row>
    <row r="228" spans="1:30" hidden="1" x14ac:dyDescent="0.3">
      <c r="A228" t="s">
        <v>33</v>
      </c>
      <c r="B228">
        <v>2019</v>
      </c>
      <c r="C228" t="s">
        <v>38</v>
      </c>
      <c r="D228">
        <v>140.4</v>
      </c>
      <c r="E228">
        <v>156.69999999999999</v>
      </c>
      <c r="F228">
        <v>138.30000000000001</v>
      </c>
      <c r="G228">
        <v>142.4</v>
      </c>
      <c r="H228">
        <v>118.6</v>
      </c>
      <c r="I228">
        <v>149.69999999999999</v>
      </c>
      <c r="J228">
        <v>161.6</v>
      </c>
      <c r="K228">
        <v>124.4</v>
      </c>
      <c r="L228">
        <v>111.2</v>
      </c>
      <c r="M228">
        <v>141</v>
      </c>
      <c r="N228">
        <v>128.9</v>
      </c>
      <c r="O228">
        <v>154.5</v>
      </c>
      <c r="P228">
        <v>143.80000000000001</v>
      </c>
      <c r="Q228">
        <v>166.2</v>
      </c>
      <c r="R228">
        <v>144</v>
      </c>
      <c r="S228">
        <v>131.69999999999999</v>
      </c>
      <c r="T228">
        <v>142.19999999999999</v>
      </c>
      <c r="U228">
        <v>150.1</v>
      </c>
      <c r="V228">
        <v>129.4</v>
      </c>
      <c r="W228">
        <v>137.19999999999999</v>
      </c>
      <c r="X228">
        <v>139.80000000000001</v>
      </c>
      <c r="Y228">
        <v>120.1</v>
      </c>
      <c r="Z228">
        <v>134</v>
      </c>
      <c r="AA228">
        <v>148</v>
      </c>
      <c r="AB228">
        <v>132.6</v>
      </c>
      <c r="AC228">
        <v>133.30000000000001</v>
      </c>
      <c r="AD228">
        <v>141.5</v>
      </c>
    </row>
    <row r="229" spans="1:30" hidden="1" x14ac:dyDescent="0.3">
      <c r="A229" t="s">
        <v>34</v>
      </c>
      <c r="B229">
        <v>2019</v>
      </c>
      <c r="C229" t="s">
        <v>38</v>
      </c>
      <c r="D229">
        <v>138.30000000000001</v>
      </c>
      <c r="E229">
        <v>158.5</v>
      </c>
      <c r="F229">
        <v>136</v>
      </c>
      <c r="G229">
        <v>142.5</v>
      </c>
      <c r="H229">
        <v>122</v>
      </c>
      <c r="I229">
        <v>146.5</v>
      </c>
      <c r="J229">
        <v>143</v>
      </c>
      <c r="K229">
        <v>124.9</v>
      </c>
      <c r="L229">
        <v>109.9</v>
      </c>
      <c r="M229">
        <v>139.9</v>
      </c>
      <c r="N229">
        <v>134</v>
      </c>
      <c r="O229">
        <v>155.5</v>
      </c>
      <c r="P229">
        <v>140.9</v>
      </c>
      <c r="Q229">
        <v>164.1</v>
      </c>
      <c r="R229">
        <v>148.4</v>
      </c>
      <c r="S229">
        <v>140.4</v>
      </c>
      <c r="T229">
        <v>147.30000000000001</v>
      </c>
      <c r="U229">
        <v>150.1</v>
      </c>
      <c r="V229">
        <v>140.30000000000001</v>
      </c>
      <c r="W229">
        <v>143.69999999999999</v>
      </c>
      <c r="X229">
        <v>146.9</v>
      </c>
      <c r="Y229">
        <v>124.9</v>
      </c>
      <c r="Z229">
        <v>139.19999999999999</v>
      </c>
      <c r="AA229">
        <v>151.6</v>
      </c>
      <c r="AB229">
        <v>133.4</v>
      </c>
      <c r="AC229">
        <v>138.19999999999999</v>
      </c>
      <c r="AD229">
        <v>142</v>
      </c>
    </row>
    <row r="230" spans="1:30" hidden="1" x14ac:dyDescent="0.3">
      <c r="A230" t="s">
        <v>30</v>
      </c>
      <c r="B230">
        <v>2019</v>
      </c>
      <c r="C230" t="s">
        <v>39</v>
      </c>
      <c r="D230">
        <v>137.80000000000001</v>
      </c>
      <c r="E230">
        <v>163.5</v>
      </c>
      <c r="F230">
        <v>136.19999999999999</v>
      </c>
      <c r="G230">
        <v>143.19999999999999</v>
      </c>
      <c r="H230">
        <v>124.3</v>
      </c>
      <c r="I230">
        <v>143.30000000000001</v>
      </c>
      <c r="J230">
        <v>140.6</v>
      </c>
      <c r="K230">
        <v>128.69999999999999</v>
      </c>
      <c r="L230">
        <v>110.6</v>
      </c>
      <c r="M230">
        <v>140.4</v>
      </c>
      <c r="N230">
        <v>138</v>
      </c>
      <c r="O230">
        <v>156.6</v>
      </c>
      <c r="P230">
        <v>141</v>
      </c>
      <c r="Q230">
        <v>164.2</v>
      </c>
      <c r="R230">
        <v>151.4</v>
      </c>
      <c r="S230">
        <v>146.5</v>
      </c>
      <c r="T230">
        <v>150.69999999999999</v>
      </c>
      <c r="U230" t="s">
        <v>32</v>
      </c>
      <c r="V230">
        <v>147.80000000000001</v>
      </c>
      <c r="W230">
        <v>149.6</v>
      </c>
      <c r="X230">
        <v>151.69999999999999</v>
      </c>
      <c r="Y230">
        <v>130.19999999999999</v>
      </c>
      <c r="Z230">
        <v>146.4</v>
      </c>
      <c r="AA230">
        <v>157.69999999999999</v>
      </c>
      <c r="AB230">
        <v>134.80000000000001</v>
      </c>
      <c r="AC230">
        <v>143.30000000000001</v>
      </c>
      <c r="AD230">
        <v>143.6</v>
      </c>
    </row>
    <row r="231" spans="1:30" hidden="1" x14ac:dyDescent="0.3">
      <c r="A231" t="s">
        <v>33</v>
      </c>
      <c r="B231">
        <v>2019</v>
      </c>
      <c r="C231" t="s">
        <v>39</v>
      </c>
      <c r="D231">
        <v>140.69999999999999</v>
      </c>
      <c r="E231">
        <v>159.6</v>
      </c>
      <c r="F231">
        <v>140.4</v>
      </c>
      <c r="G231">
        <v>143.4</v>
      </c>
      <c r="H231">
        <v>118.6</v>
      </c>
      <c r="I231">
        <v>150.9</v>
      </c>
      <c r="J231">
        <v>169.8</v>
      </c>
      <c r="K231">
        <v>127.4</v>
      </c>
      <c r="L231">
        <v>111.8</v>
      </c>
      <c r="M231">
        <v>141</v>
      </c>
      <c r="N231">
        <v>129</v>
      </c>
      <c r="O231">
        <v>155.1</v>
      </c>
      <c r="P231">
        <v>145.6</v>
      </c>
      <c r="Q231">
        <v>166.7</v>
      </c>
      <c r="R231">
        <v>144.30000000000001</v>
      </c>
      <c r="S231">
        <v>131.69999999999999</v>
      </c>
      <c r="T231">
        <v>142.4</v>
      </c>
      <c r="U231">
        <v>149.4</v>
      </c>
      <c r="V231">
        <v>130.5</v>
      </c>
      <c r="W231">
        <v>137.4</v>
      </c>
      <c r="X231">
        <v>140.30000000000001</v>
      </c>
      <c r="Y231">
        <v>119.6</v>
      </c>
      <c r="Z231">
        <v>134.30000000000001</v>
      </c>
      <c r="AA231">
        <v>148.9</v>
      </c>
      <c r="AB231">
        <v>133.69999999999999</v>
      </c>
      <c r="AC231">
        <v>133.6</v>
      </c>
      <c r="AD231">
        <v>142.1</v>
      </c>
    </row>
    <row r="232" spans="1:30" hidden="1" x14ac:dyDescent="0.3">
      <c r="A232" t="s">
        <v>34</v>
      </c>
      <c r="B232">
        <v>2019</v>
      </c>
      <c r="C232" t="s">
        <v>39</v>
      </c>
      <c r="D232">
        <v>138.69999999999999</v>
      </c>
      <c r="E232">
        <v>162.1</v>
      </c>
      <c r="F232">
        <v>137.80000000000001</v>
      </c>
      <c r="G232">
        <v>143.30000000000001</v>
      </c>
      <c r="H232">
        <v>122.2</v>
      </c>
      <c r="I232">
        <v>146.80000000000001</v>
      </c>
      <c r="J232">
        <v>150.5</v>
      </c>
      <c r="K232">
        <v>128.30000000000001</v>
      </c>
      <c r="L232">
        <v>111</v>
      </c>
      <c r="M232">
        <v>140.6</v>
      </c>
      <c r="N232">
        <v>134.19999999999999</v>
      </c>
      <c r="O232">
        <v>155.9</v>
      </c>
      <c r="P232">
        <v>142.69999999999999</v>
      </c>
      <c r="Q232">
        <v>164.9</v>
      </c>
      <c r="R232">
        <v>148.6</v>
      </c>
      <c r="S232">
        <v>140.4</v>
      </c>
      <c r="T232">
        <v>147.4</v>
      </c>
      <c r="U232">
        <v>149.4</v>
      </c>
      <c r="V232">
        <v>141.19999999999999</v>
      </c>
      <c r="W232">
        <v>143.80000000000001</v>
      </c>
      <c r="X232">
        <v>147.4</v>
      </c>
      <c r="Y232">
        <v>124.6</v>
      </c>
      <c r="Z232">
        <v>139.6</v>
      </c>
      <c r="AA232">
        <v>152.5</v>
      </c>
      <c r="AB232">
        <v>134.30000000000001</v>
      </c>
      <c r="AC232">
        <v>138.6</v>
      </c>
      <c r="AD232">
        <v>142.9</v>
      </c>
    </row>
    <row r="233" spans="1:30" hidden="1" x14ac:dyDescent="0.3">
      <c r="A233" t="s">
        <v>30</v>
      </c>
      <c r="B233">
        <v>2019</v>
      </c>
      <c r="C233" t="s">
        <v>40</v>
      </c>
      <c r="D233">
        <v>138.4</v>
      </c>
      <c r="E233">
        <v>164</v>
      </c>
      <c r="F233">
        <v>138.4</v>
      </c>
      <c r="G233">
        <v>143.9</v>
      </c>
      <c r="H233">
        <v>124.4</v>
      </c>
      <c r="I233">
        <v>146.4</v>
      </c>
      <c r="J233">
        <v>150.1</v>
      </c>
      <c r="K233">
        <v>130.6</v>
      </c>
      <c r="L233">
        <v>110.8</v>
      </c>
      <c r="M233">
        <v>141.69999999999999</v>
      </c>
      <c r="N233">
        <v>138.5</v>
      </c>
      <c r="O233">
        <v>156.69999999999999</v>
      </c>
      <c r="P233">
        <v>143</v>
      </c>
      <c r="Q233">
        <v>164.5</v>
      </c>
      <c r="R233">
        <v>151.6</v>
      </c>
      <c r="S233">
        <v>146.6</v>
      </c>
      <c r="T233">
        <v>150.9</v>
      </c>
      <c r="U233" t="s">
        <v>32</v>
      </c>
      <c r="V233">
        <v>146.80000000000001</v>
      </c>
      <c r="W233">
        <v>150</v>
      </c>
      <c r="X233">
        <v>152.19999999999999</v>
      </c>
      <c r="Y233">
        <v>131.19999999999999</v>
      </c>
      <c r="Z233">
        <v>147.5</v>
      </c>
      <c r="AA233">
        <v>159.1</v>
      </c>
      <c r="AB233">
        <v>136.1</v>
      </c>
      <c r="AC233">
        <v>144.19999999999999</v>
      </c>
      <c r="AD233">
        <v>144.9</v>
      </c>
    </row>
    <row r="234" spans="1:30" hidden="1" x14ac:dyDescent="0.3">
      <c r="A234" t="s">
        <v>33</v>
      </c>
      <c r="B234">
        <v>2019</v>
      </c>
      <c r="C234" t="s">
        <v>40</v>
      </c>
      <c r="D234">
        <v>141.4</v>
      </c>
      <c r="E234">
        <v>160.19999999999999</v>
      </c>
      <c r="F234">
        <v>142.5</v>
      </c>
      <c r="G234">
        <v>144.1</v>
      </c>
      <c r="H234">
        <v>119.3</v>
      </c>
      <c r="I234">
        <v>154.69999999999999</v>
      </c>
      <c r="J234">
        <v>180.1</v>
      </c>
      <c r="K234">
        <v>128.9</v>
      </c>
      <c r="L234">
        <v>111.8</v>
      </c>
      <c r="M234">
        <v>141.6</v>
      </c>
      <c r="N234">
        <v>129.5</v>
      </c>
      <c r="O234">
        <v>155.6</v>
      </c>
      <c r="P234">
        <v>147.69999999999999</v>
      </c>
      <c r="Q234">
        <v>167.2</v>
      </c>
      <c r="R234">
        <v>144.69999999999999</v>
      </c>
      <c r="S234">
        <v>131.9</v>
      </c>
      <c r="T234">
        <v>142.69999999999999</v>
      </c>
      <c r="U234">
        <v>150.6</v>
      </c>
      <c r="V234">
        <v>127</v>
      </c>
      <c r="W234">
        <v>137.69999999999999</v>
      </c>
      <c r="X234">
        <v>140.80000000000001</v>
      </c>
      <c r="Y234">
        <v>120.6</v>
      </c>
      <c r="Z234">
        <v>135</v>
      </c>
      <c r="AA234">
        <v>150.4</v>
      </c>
      <c r="AB234">
        <v>135.1</v>
      </c>
      <c r="AC234">
        <v>134.5</v>
      </c>
      <c r="AD234">
        <v>143.30000000000001</v>
      </c>
    </row>
    <row r="235" spans="1:30" hidden="1" x14ac:dyDescent="0.3">
      <c r="A235" t="s">
        <v>34</v>
      </c>
      <c r="B235">
        <v>2019</v>
      </c>
      <c r="C235" t="s">
        <v>40</v>
      </c>
      <c r="D235">
        <v>139.30000000000001</v>
      </c>
      <c r="E235">
        <v>162.69999999999999</v>
      </c>
      <c r="F235">
        <v>140</v>
      </c>
      <c r="G235">
        <v>144</v>
      </c>
      <c r="H235">
        <v>122.5</v>
      </c>
      <c r="I235">
        <v>150.30000000000001</v>
      </c>
      <c r="J235">
        <v>160.30000000000001</v>
      </c>
      <c r="K235">
        <v>130</v>
      </c>
      <c r="L235">
        <v>111.1</v>
      </c>
      <c r="M235">
        <v>141.69999999999999</v>
      </c>
      <c r="N235">
        <v>134.69999999999999</v>
      </c>
      <c r="O235">
        <v>156.19999999999999</v>
      </c>
      <c r="P235">
        <v>144.69999999999999</v>
      </c>
      <c r="Q235">
        <v>165.2</v>
      </c>
      <c r="R235">
        <v>148.9</v>
      </c>
      <c r="S235">
        <v>140.5</v>
      </c>
      <c r="T235">
        <v>147.6</v>
      </c>
      <c r="U235">
        <v>150.6</v>
      </c>
      <c r="V235">
        <v>139.30000000000001</v>
      </c>
      <c r="W235">
        <v>144.19999999999999</v>
      </c>
      <c r="X235">
        <v>147.9</v>
      </c>
      <c r="Y235">
        <v>125.6</v>
      </c>
      <c r="Z235">
        <v>140.5</v>
      </c>
      <c r="AA235">
        <v>154</v>
      </c>
      <c r="AB235">
        <v>135.69999999999999</v>
      </c>
      <c r="AC235">
        <v>139.5</v>
      </c>
      <c r="AD235">
        <v>144.19999999999999</v>
      </c>
    </row>
    <row r="236" spans="1:30" hidden="1" x14ac:dyDescent="0.3">
      <c r="A236" t="s">
        <v>30</v>
      </c>
      <c r="B236">
        <v>2019</v>
      </c>
      <c r="C236" t="s">
        <v>41</v>
      </c>
      <c r="D236">
        <v>139.19999999999999</v>
      </c>
      <c r="E236">
        <v>161.9</v>
      </c>
      <c r="F236">
        <v>137.1</v>
      </c>
      <c r="G236">
        <v>144.6</v>
      </c>
      <c r="H236">
        <v>124.7</v>
      </c>
      <c r="I236">
        <v>145.5</v>
      </c>
      <c r="J236">
        <v>156.19999999999999</v>
      </c>
      <c r="K236">
        <v>131.5</v>
      </c>
      <c r="L236">
        <v>111.7</v>
      </c>
      <c r="M236">
        <v>142.69999999999999</v>
      </c>
      <c r="N236">
        <v>138.5</v>
      </c>
      <c r="O236">
        <v>156.9</v>
      </c>
      <c r="P236">
        <v>144</v>
      </c>
      <c r="Q236">
        <v>165.1</v>
      </c>
      <c r="R236">
        <v>151.80000000000001</v>
      </c>
      <c r="S236">
        <v>146.6</v>
      </c>
      <c r="T236">
        <v>151.1</v>
      </c>
      <c r="U236" t="s">
        <v>32</v>
      </c>
      <c r="V236">
        <v>146.4</v>
      </c>
      <c r="W236">
        <v>150.19999999999999</v>
      </c>
      <c r="X236">
        <v>152.69999999999999</v>
      </c>
      <c r="Y236">
        <v>131.4</v>
      </c>
      <c r="Z236">
        <v>148</v>
      </c>
      <c r="AA236">
        <v>159.69999999999999</v>
      </c>
      <c r="AB236">
        <v>138.80000000000001</v>
      </c>
      <c r="AC236">
        <v>144.9</v>
      </c>
      <c r="AD236">
        <v>145.69999999999999</v>
      </c>
    </row>
    <row r="237" spans="1:30" hidden="1" x14ac:dyDescent="0.3">
      <c r="A237" t="s">
        <v>33</v>
      </c>
      <c r="B237">
        <v>2019</v>
      </c>
      <c r="C237" t="s">
        <v>41</v>
      </c>
      <c r="D237">
        <v>142.1</v>
      </c>
      <c r="E237">
        <v>158.30000000000001</v>
      </c>
      <c r="F237">
        <v>140.80000000000001</v>
      </c>
      <c r="G237">
        <v>144.9</v>
      </c>
      <c r="H237">
        <v>119.9</v>
      </c>
      <c r="I237">
        <v>153.9</v>
      </c>
      <c r="J237">
        <v>189.1</v>
      </c>
      <c r="K237">
        <v>129.80000000000001</v>
      </c>
      <c r="L237">
        <v>112.7</v>
      </c>
      <c r="M237">
        <v>142.5</v>
      </c>
      <c r="N237">
        <v>129.80000000000001</v>
      </c>
      <c r="O237">
        <v>156.19999999999999</v>
      </c>
      <c r="P237">
        <v>149.1</v>
      </c>
      <c r="Q237">
        <v>167.9</v>
      </c>
      <c r="R237">
        <v>145</v>
      </c>
      <c r="S237">
        <v>132.19999999999999</v>
      </c>
      <c r="T237">
        <v>143</v>
      </c>
      <c r="U237">
        <v>151.6</v>
      </c>
      <c r="V237">
        <v>125.5</v>
      </c>
      <c r="W237">
        <v>138.1</v>
      </c>
      <c r="X237">
        <v>141.5</v>
      </c>
      <c r="Y237">
        <v>120.8</v>
      </c>
      <c r="Z237">
        <v>135.4</v>
      </c>
      <c r="AA237">
        <v>151.5</v>
      </c>
      <c r="AB237">
        <v>137.80000000000001</v>
      </c>
      <c r="AC237">
        <v>135.30000000000001</v>
      </c>
      <c r="AD237">
        <v>144.19999999999999</v>
      </c>
    </row>
    <row r="238" spans="1:30" hidden="1" x14ac:dyDescent="0.3">
      <c r="A238" t="s">
        <v>34</v>
      </c>
      <c r="B238">
        <v>2019</v>
      </c>
      <c r="C238" t="s">
        <v>41</v>
      </c>
      <c r="D238">
        <v>140.1</v>
      </c>
      <c r="E238">
        <v>160.6</v>
      </c>
      <c r="F238">
        <v>138.5</v>
      </c>
      <c r="G238">
        <v>144.69999999999999</v>
      </c>
      <c r="H238">
        <v>122.9</v>
      </c>
      <c r="I238">
        <v>149.4</v>
      </c>
      <c r="J238">
        <v>167.4</v>
      </c>
      <c r="K238">
        <v>130.9</v>
      </c>
      <c r="L238">
        <v>112</v>
      </c>
      <c r="M238">
        <v>142.6</v>
      </c>
      <c r="N238">
        <v>134.9</v>
      </c>
      <c r="O238">
        <v>156.6</v>
      </c>
      <c r="P238">
        <v>145.9</v>
      </c>
      <c r="Q238">
        <v>165.8</v>
      </c>
      <c r="R238">
        <v>149.1</v>
      </c>
      <c r="S238">
        <v>140.6</v>
      </c>
      <c r="T238">
        <v>147.9</v>
      </c>
      <c r="U238">
        <v>151.6</v>
      </c>
      <c r="V238">
        <v>138.5</v>
      </c>
      <c r="W238">
        <v>144.5</v>
      </c>
      <c r="X238">
        <v>148.5</v>
      </c>
      <c r="Y238">
        <v>125.8</v>
      </c>
      <c r="Z238">
        <v>140.9</v>
      </c>
      <c r="AA238">
        <v>154.9</v>
      </c>
      <c r="AB238">
        <v>138.4</v>
      </c>
      <c r="AC238">
        <v>140.19999999999999</v>
      </c>
      <c r="AD238">
        <v>145</v>
      </c>
    </row>
    <row r="239" spans="1:30" hidden="1" x14ac:dyDescent="0.3">
      <c r="A239" t="s">
        <v>30</v>
      </c>
      <c r="B239">
        <v>2019</v>
      </c>
      <c r="C239" t="s">
        <v>42</v>
      </c>
      <c r="D239">
        <v>140.1</v>
      </c>
      <c r="E239">
        <v>161.9</v>
      </c>
      <c r="F239">
        <v>138.30000000000001</v>
      </c>
      <c r="G239">
        <v>145.69999999999999</v>
      </c>
      <c r="H239">
        <v>125.1</v>
      </c>
      <c r="I239">
        <v>143.80000000000001</v>
      </c>
      <c r="J239">
        <v>163.4</v>
      </c>
      <c r="K239">
        <v>132.19999999999999</v>
      </c>
      <c r="L239">
        <v>112.8</v>
      </c>
      <c r="M239">
        <v>144.19999999999999</v>
      </c>
      <c r="N239">
        <v>138.5</v>
      </c>
      <c r="O239">
        <v>157.19999999999999</v>
      </c>
      <c r="P239">
        <v>145.5</v>
      </c>
      <c r="Q239">
        <v>165.7</v>
      </c>
      <c r="R239">
        <v>151.69999999999999</v>
      </c>
      <c r="S239">
        <v>146.6</v>
      </c>
      <c r="T239">
        <v>151</v>
      </c>
      <c r="U239" t="s">
        <v>32</v>
      </c>
      <c r="V239">
        <v>146.9</v>
      </c>
      <c r="W239">
        <v>150.30000000000001</v>
      </c>
      <c r="X239">
        <v>153.4</v>
      </c>
      <c r="Y239">
        <v>131.6</v>
      </c>
      <c r="Z239">
        <v>148.30000000000001</v>
      </c>
      <c r="AA239">
        <v>160.19999999999999</v>
      </c>
      <c r="AB239">
        <v>140.19999999999999</v>
      </c>
      <c r="AC239">
        <v>145.4</v>
      </c>
      <c r="AD239">
        <v>146.69999999999999</v>
      </c>
    </row>
    <row r="240" spans="1:30" hidden="1" x14ac:dyDescent="0.3">
      <c r="A240" t="s">
        <v>33</v>
      </c>
      <c r="B240">
        <v>2019</v>
      </c>
      <c r="C240" t="s">
        <v>42</v>
      </c>
      <c r="D240">
        <v>142.69999999999999</v>
      </c>
      <c r="E240">
        <v>158.69999999999999</v>
      </c>
      <c r="F240">
        <v>141.6</v>
      </c>
      <c r="G240">
        <v>144.9</v>
      </c>
      <c r="H240">
        <v>120.8</v>
      </c>
      <c r="I240">
        <v>149.80000000000001</v>
      </c>
      <c r="J240">
        <v>192.4</v>
      </c>
      <c r="K240">
        <v>130.30000000000001</v>
      </c>
      <c r="L240">
        <v>114</v>
      </c>
      <c r="M240">
        <v>143.80000000000001</v>
      </c>
      <c r="N240">
        <v>130</v>
      </c>
      <c r="O240">
        <v>156.4</v>
      </c>
      <c r="P240">
        <v>149.5</v>
      </c>
      <c r="Q240">
        <v>168.6</v>
      </c>
      <c r="R240">
        <v>145.30000000000001</v>
      </c>
      <c r="S240">
        <v>132.19999999999999</v>
      </c>
      <c r="T240">
        <v>143.30000000000001</v>
      </c>
      <c r="U240">
        <v>152.19999999999999</v>
      </c>
      <c r="V240">
        <v>126.6</v>
      </c>
      <c r="W240">
        <v>138.30000000000001</v>
      </c>
      <c r="X240">
        <v>141.9</v>
      </c>
      <c r="Y240">
        <v>121.2</v>
      </c>
      <c r="Z240">
        <v>135.9</v>
      </c>
      <c r="AA240">
        <v>151.6</v>
      </c>
      <c r="AB240">
        <v>139</v>
      </c>
      <c r="AC240">
        <v>135.69999999999999</v>
      </c>
      <c r="AD240">
        <v>144.69999999999999</v>
      </c>
    </row>
    <row r="241" spans="1:30" hidden="1" x14ac:dyDescent="0.3">
      <c r="A241" t="s">
        <v>34</v>
      </c>
      <c r="B241">
        <v>2019</v>
      </c>
      <c r="C241" t="s">
        <v>42</v>
      </c>
      <c r="D241">
        <v>140.9</v>
      </c>
      <c r="E241">
        <v>160.80000000000001</v>
      </c>
      <c r="F241">
        <v>139.6</v>
      </c>
      <c r="G241">
        <v>145.4</v>
      </c>
      <c r="H241">
        <v>123.5</v>
      </c>
      <c r="I241">
        <v>146.6</v>
      </c>
      <c r="J241">
        <v>173.2</v>
      </c>
      <c r="K241">
        <v>131.6</v>
      </c>
      <c r="L241">
        <v>113.2</v>
      </c>
      <c r="M241">
        <v>144.1</v>
      </c>
      <c r="N241">
        <v>135</v>
      </c>
      <c r="O241">
        <v>156.80000000000001</v>
      </c>
      <c r="P241">
        <v>147</v>
      </c>
      <c r="Q241">
        <v>166.5</v>
      </c>
      <c r="R241">
        <v>149.19999999999999</v>
      </c>
      <c r="S241">
        <v>140.6</v>
      </c>
      <c r="T241">
        <v>147.9</v>
      </c>
      <c r="U241">
        <v>152.19999999999999</v>
      </c>
      <c r="V241">
        <v>139.19999999999999</v>
      </c>
      <c r="W241">
        <v>144.6</v>
      </c>
      <c r="X241">
        <v>149</v>
      </c>
      <c r="Y241">
        <v>126.1</v>
      </c>
      <c r="Z241">
        <v>141.30000000000001</v>
      </c>
      <c r="AA241">
        <v>155.19999999999999</v>
      </c>
      <c r="AB241">
        <v>139.69999999999999</v>
      </c>
      <c r="AC241">
        <v>140.69999999999999</v>
      </c>
      <c r="AD241">
        <v>145.80000000000001</v>
      </c>
    </row>
    <row r="242" spans="1:30" hidden="1" x14ac:dyDescent="0.3">
      <c r="A242" t="s">
        <v>30</v>
      </c>
      <c r="B242">
        <v>2019</v>
      </c>
      <c r="C242" t="s">
        <v>43</v>
      </c>
      <c r="D242">
        <v>141</v>
      </c>
      <c r="E242">
        <v>161.6</v>
      </c>
      <c r="F242">
        <v>141.19999999999999</v>
      </c>
      <c r="G242">
        <v>146.5</v>
      </c>
      <c r="H242">
        <v>125.6</v>
      </c>
      <c r="I242">
        <v>145.69999999999999</v>
      </c>
      <c r="J242">
        <v>178.8</v>
      </c>
      <c r="K242">
        <v>133.1</v>
      </c>
      <c r="L242">
        <v>113.6</v>
      </c>
      <c r="M242">
        <v>145.5</v>
      </c>
      <c r="N242">
        <v>138.6</v>
      </c>
      <c r="O242">
        <v>157.4</v>
      </c>
      <c r="P242">
        <v>148.30000000000001</v>
      </c>
      <c r="Q242">
        <v>166.3</v>
      </c>
      <c r="R242">
        <v>151.69999999999999</v>
      </c>
      <c r="S242">
        <v>146.69999999999999</v>
      </c>
      <c r="T242">
        <v>151</v>
      </c>
      <c r="U242" t="s">
        <v>32</v>
      </c>
      <c r="V242">
        <v>147.69999999999999</v>
      </c>
      <c r="W242">
        <v>150.6</v>
      </c>
      <c r="X242">
        <v>153.69999999999999</v>
      </c>
      <c r="Y242">
        <v>131.69999999999999</v>
      </c>
      <c r="Z242">
        <v>148.69999999999999</v>
      </c>
      <c r="AA242">
        <v>160.69999999999999</v>
      </c>
      <c r="AB242">
        <v>140.30000000000001</v>
      </c>
      <c r="AC242">
        <v>145.69999999999999</v>
      </c>
      <c r="AD242">
        <v>148.30000000000001</v>
      </c>
    </row>
    <row r="243" spans="1:30" hidden="1" x14ac:dyDescent="0.3">
      <c r="A243" t="s">
        <v>33</v>
      </c>
      <c r="B243">
        <v>2019</v>
      </c>
      <c r="C243" t="s">
        <v>43</v>
      </c>
      <c r="D243">
        <v>143.5</v>
      </c>
      <c r="E243">
        <v>159.80000000000001</v>
      </c>
      <c r="F243">
        <v>144.69999999999999</v>
      </c>
      <c r="G243">
        <v>145.6</v>
      </c>
      <c r="H243">
        <v>121.1</v>
      </c>
      <c r="I243">
        <v>150.6</v>
      </c>
      <c r="J243">
        <v>207.2</v>
      </c>
      <c r="K243">
        <v>131.19999999999999</v>
      </c>
      <c r="L243">
        <v>114.8</v>
      </c>
      <c r="M243">
        <v>145.19999999999999</v>
      </c>
      <c r="N243">
        <v>130.19999999999999</v>
      </c>
      <c r="O243">
        <v>156.80000000000001</v>
      </c>
      <c r="P243">
        <v>151.9</v>
      </c>
      <c r="Q243">
        <v>169.3</v>
      </c>
      <c r="R243">
        <v>145.9</v>
      </c>
      <c r="S243">
        <v>132.4</v>
      </c>
      <c r="T243">
        <v>143.9</v>
      </c>
      <c r="U243">
        <v>153</v>
      </c>
      <c r="V243">
        <v>128.9</v>
      </c>
      <c r="W243">
        <v>138.69999999999999</v>
      </c>
      <c r="X243">
        <v>142.4</v>
      </c>
      <c r="Y243">
        <v>121.5</v>
      </c>
      <c r="Z243">
        <v>136.19999999999999</v>
      </c>
      <c r="AA243">
        <v>151.69999999999999</v>
      </c>
      <c r="AB243">
        <v>139.5</v>
      </c>
      <c r="AC243">
        <v>136</v>
      </c>
      <c r="AD243">
        <v>146</v>
      </c>
    </row>
    <row r="244" spans="1:30" hidden="1" x14ac:dyDescent="0.3">
      <c r="A244" t="s">
        <v>34</v>
      </c>
      <c r="B244">
        <v>2019</v>
      </c>
      <c r="C244" t="s">
        <v>43</v>
      </c>
      <c r="D244">
        <v>141.80000000000001</v>
      </c>
      <c r="E244">
        <v>161</v>
      </c>
      <c r="F244">
        <v>142.6</v>
      </c>
      <c r="G244">
        <v>146.19999999999999</v>
      </c>
      <c r="H244">
        <v>123.9</v>
      </c>
      <c r="I244">
        <v>148</v>
      </c>
      <c r="J244">
        <v>188.4</v>
      </c>
      <c r="K244">
        <v>132.5</v>
      </c>
      <c r="L244">
        <v>114</v>
      </c>
      <c r="M244">
        <v>145.4</v>
      </c>
      <c r="N244">
        <v>135.1</v>
      </c>
      <c r="O244">
        <v>157.1</v>
      </c>
      <c r="P244">
        <v>149.6</v>
      </c>
      <c r="Q244">
        <v>167.1</v>
      </c>
      <c r="R244">
        <v>149.4</v>
      </c>
      <c r="S244">
        <v>140.80000000000001</v>
      </c>
      <c r="T244">
        <v>148.19999999999999</v>
      </c>
      <c r="U244">
        <v>153</v>
      </c>
      <c r="V244">
        <v>140.6</v>
      </c>
      <c r="W244">
        <v>145</v>
      </c>
      <c r="X244">
        <v>149.4</v>
      </c>
      <c r="Y244">
        <v>126.3</v>
      </c>
      <c r="Z244">
        <v>141.69999999999999</v>
      </c>
      <c r="AA244">
        <v>155.4</v>
      </c>
      <c r="AB244">
        <v>140</v>
      </c>
      <c r="AC244">
        <v>141</v>
      </c>
      <c r="AD244">
        <v>147.19999999999999</v>
      </c>
    </row>
    <row r="245" spans="1:30" hidden="1" x14ac:dyDescent="0.3">
      <c r="A245" t="s">
        <v>30</v>
      </c>
      <c r="B245">
        <v>2019</v>
      </c>
      <c r="C245" t="s">
        <v>45</v>
      </c>
      <c r="D245">
        <v>141.80000000000001</v>
      </c>
      <c r="E245">
        <v>163.69999999999999</v>
      </c>
      <c r="F245">
        <v>143.80000000000001</v>
      </c>
      <c r="G245">
        <v>147.1</v>
      </c>
      <c r="H245">
        <v>126</v>
      </c>
      <c r="I245">
        <v>146.19999999999999</v>
      </c>
      <c r="J245">
        <v>191.4</v>
      </c>
      <c r="K245">
        <v>136.19999999999999</v>
      </c>
      <c r="L245">
        <v>113.8</v>
      </c>
      <c r="M245">
        <v>147.30000000000001</v>
      </c>
      <c r="N245">
        <v>138.69999999999999</v>
      </c>
      <c r="O245">
        <v>157.69999999999999</v>
      </c>
      <c r="P245">
        <v>150.9</v>
      </c>
      <c r="Q245">
        <v>167.2</v>
      </c>
      <c r="R245">
        <v>152.30000000000001</v>
      </c>
      <c r="S245">
        <v>147</v>
      </c>
      <c r="T245">
        <v>151.5</v>
      </c>
      <c r="U245" t="s">
        <v>32</v>
      </c>
      <c r="V245">
        <v>148.4</v>
      </c>
      <c r="W245">
        <v>150.9</v>
      </c>
      <c r="X245">
        <v>154.30000000000001</v>
      </c>
      <c r="Y245">
        <v>132.1</v>
      </c>
      <c r="Z245">
        <v>149.1</v>
      </c>
      <c r="AA245">
        <v>160.80000000000001</v>
      </c>
      <c r="AB245">
        <v>140.6</v>
      </c>
      <c r="AC245">
        <v>146.1</v>
      </c>
      <c r="AD245">
        <v>149.9</v>
      </c>
    </row>
    <row r="246" spans="1:30" hidden="1" x14ac:dyDescent="0.3">
      <c r="A246" t="s">
        <v>33</v>
      </c>
      <c r="B246">
        <v>2019</v>
      </c>
      <c r="C246" t="s">
        <v>45</v>
      </c>
      <c r="D246">
        <v>144.1</v>
      </c>
      <c r="E246">
        <v>162.4</v>
      </c>
      <c r="F246">
        <v>148.4</v>
      </c>
      <c r="G246">
        <v>145.9</v>
      </c>
      <c r="H246">
        <v>121.5</v>
      </c>
      <c r="I246">
        <v>148.80000000000001</v>
      </c>
      <c r="J246">
        <v>215.7</v>
      </c>
      <c r="K246">
        <v>134.6</v>
      </c>
      <c r="L246">
        <v>115</v>
      </c>
      <c r="M246">
        <v>146.30000000000001</v>
      </c>
      <c r="N246">
        <v>130.5</v>
      </c>
      <c r="O246">
        <v>157.19999999999999</v>
      </c>
      <c r="P246">
        <v>153.6</v>
      </c>
      <c r="Q246">
        <v>169.9</v>
      </c>
      <c r="R246">
        <v>146.30000000000001</v>
      </c>
      <c r="S246">
        <v>132.6</v>
      </c>
      <c r="T246">
        <v>144.19999999999999</v>
      </c>
      <c r="U246">
        <v>153.5</v>
      </c>
      <c r="V246">
        <v>132.19999999999999</v>
      </c>
      <c r="W246">
        <v>139.1</v>
      </c>
      <c r="X246">
        <v>142.80000000000001</v>
      </c>
      <c r="Y246">
        <v>121.7</v>
      </c>
      <c r="Z246">
        <v>136.69999999999999</v>
      </c>
      <c r="AA246">
        <v>151.80000000000001</v>
      </c>
      <c r="AB246">
        <v>139.80000000000001</v>
      </c>
      <c r="AC246">
        <v>136.30000000000001</v>
      </c>
      <c r="AD246">
        <v>147</v>
      </c>
    </row>
    <row r="247" spans="1:30" hidden="1" x14ac:dyDescent="0.3">
      <c r="A247" t="s">
        <v>34</v>
      </c>
      <c r="B247">
        <v>2019</v>
      </c>
      <c r="C247" t="s">
        <v>45</v>
      </c>
      <c r="D247">
        <v>142.5</v>
      </c>
      <c r="E247">
        <v>163.19999999999999</v>
      </c>
      <c r="F247">
        <v>145.6</v>
      </c>
      <c r="G247">
        <v>146.69999999999999</v>
      </c>
      <c r="H247">
        <v>124.3</v>
      </c>
      <c r="I247">
        <v>147.4</v>
      </c>
      <c r="J247">
        <v>199.6</v>
      </c>
      <c r="K247">
        <v>135.69999999999999</v>
      </c>
      <c r="L247">
        <v>114.2</v>
      </c>
      <c r="M247">
        <v>147</v>
      </c>
      <c r="N247">
        <v>135.30000000000001</v>
      </c>
      <c r="O247">
        <v>157.5</v>
      </c>
      <c r="P247">
        <v>151.9</v>
      </c>
      <c r="Q247">
        <v>167.9</v>
      </c>
      <c r="R247">
        <v>149.9</v>
      </c>
      <c r="S247">
        <v>141</v>
      </c>
      <c r="T247">
        <v>148.6</v>
      </c>
      <c r="U247">
        <v>153.5</v>
      </c>
      <c r="V247">
        <v>142.30000000000001</v>
      </c>
      <c r="W247">
        <v>145.30000000000001</v>
      </c>
      <c r="X247">
        <v>149.9</v>
      </c>
      <c r="Y247">
        <v>126.6</v>
      </c>
      <c r="Z247">
        <v>142.1</v>
      </c>
      <c r="AA247">
        <v>155.5</v>
      </c>
      <c r="AB247">
        <v>140.30000000000001</v>
      </c>
      <c r="AC247">
        <v>141.30000000000001</v>
      </c>
      <c r="AD247">
        <v>148.6</v>
      </c>
    </row>
    <row r="248" spans="1:30" hidden="1" x14ac:dyDescent="0.3">
      <c r="A248" t="s">
        <v>30</v>
      </c>
      <c r="B248">
        <v>2019</v>
      </c>
      <c r="C248" t="s">
        <v>46</v>
      </c>
      <c r="D248">
        <v>142.80000000000001</v>
      </c>
      <c r="E248">
        <v>165.3</v>
      </c>
      <c r="F248">
        <v>149.5</v>
      </c>
      <c r="G248">
        <v>148.69999999999999</v>
      </c>
      <c r="H248">
        <v>127.5</v>
      </c>
      <c r="I248">
        <v>144.30000000000001</v>
      </c>
      <c r="J248">
        <v>209.5</v>
      </c>
      <c r="K248">
        <v>138.80000000000001</v>
      </c>
      <c r="L248">
        <v>113.6</v>
      </c>
      <c r="M248">
        <v>149.1</v>
      </c>
      <c r="N248">
        <v>139.30000000000001</v>
      </c>
      <c r="O248">
        <v>158.30000000000001</v>
      </c>
      <c r="P248">
        <v>154.30000000000001</v>
      </c>
      <c r="Q248">
        <v>167.8</v>
      </c>
      <c r="R248">
        <v>152.6</v>
      </c>
      <c r="S248">
        <v>147.30000000000001</v>
      </c>
      <c r="T248">
        <v>151.9</v>
      </c>
      <c r="U248" t="s">
        <v>32</v>
      </c>
      <c r="V248">
        <v>149.9</v>
      </c>
      <c r="W248">
        <v>151.19999999999999</v>
      </c>
      <c r="X248">
        <v>154.80000000000001</v>
      </c>
      <c r="Y248">
        <v>135</v>
      </c>
      <c r="Z248">
        <v>149.5</v>
      </c>
      <c r="AA248">
        <v>161.1</v>
      </c>
      <c r="AB248">
        <v>140.6</v>
      </c>
      <c r="AC248">
        <v>147.1</v>
      </c>
      <c r="AD248">
        <v>152.30000000000001</v>
      </c>
    </row>
    <row r="249" spans="1:30" hidden="1" x14ac:dyDescent="0.3">
      <c r="A249" t="s">
        <v>33</v>
      </c>
      <c r="B249">
        <v>2019</v>
      </c>
      <c r="C249" t="s">
        <v>46</v>
      </c>
      <c r="D249">
        <v>144.9</v>
      </c>
      <c r="E249">
        <v>164.5</v>
      </c>
      <c r="F249">
        <v>153.69999999999999</v>
      </c>
      <c r="G249">
        <v>147.5</v>
      </c>
      <c r="H249">
        <v>122.7</v>
      </c>
      <c r="I249">
        <v>147.19999999999999</v>
      </c>
      <c r="J249">
        <v>231.5</v>
      </c>
      <c r="K249">
        <v>137.19999999999999</v>
      </c>
      <c r="L249">
        <v>114.7</v>
      </c>
      <c r="M249">
        <v>148</v>
      </c>
      <c r="N249">
        <v>130.80000000000001</v>
      </c>
      <c r="O249">
        <v>157.69999999999999</v>
      </c>
      <c r="P249">
        <v>156.30000000000001</v>
      </c>
      <c r="Q249">
        <v>170.4</v>
      </c>
      <c r="R249">
        <v>146.80000000000001</v>
      </c>
      <c r="S249">
        <v>132.80000000000001</v>
      </c>
      <c r="T249">
        <v>144.6</v>
      </c>
      <c r="U249">
        <v>152.80000000000001</v>
      </c>
      <c r="V249">
        <v>133.6</v>
      </c>
      <c r="W249">
        <v>139.80000000000001</v>
      </c>
      <c r="X249">
        <v>143.19999999999999</v>
      </c>
      <c r="Y249">
        <v>125.2</v>
      </c>
      <c r="Z249">
        <v>136.80000000000001</v>
      </c>
      <c r="AA249">
        <v>151.9</v>
      </c>
      <c r="AB249">
        <v>140.19999999999999</v>
      </c>
      <c r="AC249">
        <v>137.69999999999999</v>
      </c>
      <c r="AD249">
        <v>148.30000000000001</v>
      </c>
    </row>
    <row r="250" spans="1:30" hidden="1" x14ac:dyDescent="0.3">
      <c r="A250" t="s">
        <v>34</v>
      </c>
      <c r="B250">
        <v>2019</v>
      </c>
      <c r="C250" t="s">
        <v>46</v>
      </c>
      <c r="D250">
        <v>143.5</v>
      </c>
      <c r="E250">
        <v>165</v>
      </c>
      <c r="F250">
        <v>151.1</v>
      </c>
      <c r="G250">
        <v>148.30000000000001</v>
      </c>
      <c r="H250">
        <v>125.7</v>
      </c>
      <c r="I250">
        <v>145.69999999999999</v>
      </c>
      <c r="J250">
        <v>217</v>
      </c>
      <c r="K250">
        <v>138.30000000000001</v>
      </c>
      <c r="L250">
        <v>114</v>
      </c>
      <c r="M250">
        <v>148.69999999999999</v>
      </c>
      <c r="N250">
        <v>135.80000000000001</v>
      </c>
      <c r="O250">
        <v>158</v>
      </c>
      <c r="P250">
        <v>155</v>
      </c>
      <c r="Q250">
        <v>168.5</v>
      </c>
      <c r="R250">
        <v>150.30000000000001</v>
      </c>
      <c r="S250">
        <v>141.30000000000001</v>
      </c>
      <c r="T250">
        <v>149</v>
      </c>
      <c r="U250">
        <v>152.80000000000001</v>
      </c>
      <c r="V250">
        <v>143.69999999999999</v>
      </c>
      <c r="W250">
        <v>145.80000000000001</v>
      </c>
      <c r="X250">
        <v>150.4</v>
      </c>
      <c r="Y250">
        <v>129.80000000000001</v>
      </c>
      <c r="Z250">
        <v>142.30000000000001</v>
      </c>
      <c r="AA250">
        <v>155.69999999999999</v>
      </c>
      <c r="AB250">
        <v>140.4</v>
      </c>
      <c r="AC250">
        <v>142.5</v>
      </c>
      <c r="AD250">
        <v>150.4</v>
      </c>
    </row>
    <row r="251" spans="1:30" hidden="1" x14ac:dyDescent="0.3">
      <c r="A251" t="s">
        <v>30</v>
      </c>
      <c r="B251">
        <v>2020</v>
      </c>
      <c r="C251" t="s">
        <v>31</v>
      </c>
      <c r="D251">
        <v>143.69999999999999</v>
      </c>
      <c r="E251">
        <v>167.3</v>
      </c>
      <c r="F251">
        <v>153.5</v>
      </c>
      <c r="G251">
        <v>150.5</v>
      </c>
      <c r="H251">
        <v>132</v>
      </c>
      <c r="I251">
        <v>142.19999999999999</v>
      </c>
      <c r="J251">
        <v>191.5</v>
      </c>
      <c r="K251">
        <v>141.1</v>
      </c>
      <c r="L251">
        <v>113.8</v>
      </c>
      <c r="M251">
        <v>151.6</v>
      </c>
      <c r="N251">
        <v>139.69999999999999</v>
      </c>
      <c r="O251">
        <v>158.69999999999999</v>
      </c>
      <c r="P251">
        <v>153</v>
      </c>
      <c r="Q251">
        <v>168.6</v>
      </c>
      <c r="R251">
        <v>152.80000000000001</v>
      </c>
      <c r="S251">
        <v>147.4</v>
      </c>
      <c r="T251">
        <v>152.1</v>
      </c>
      <c r="U251" t="s">
        <v>32</v>
      </c>
      <c r="V251">
        <v>150.4</v>
      </c>
      <c r="W251">
        <v>151.69999999999999</v>
      </c>
      <c r="X251">
        <v>155.69999999999999</v>
      </c>
      <c r="Y251">
        <v>136.30000000000001</v>
      </c>
      <c r="Z251">
        <v>150.1</v>
      </c>
      <c r="AA251">
        <v>161.69999999999999</v>
      </c>
      <c r="AB251">
        <v>142.5</v>
      </c>
      <c r="AC251">
        <v>148.1</v>
      </c>
      <c r="AD251">
        <v>151.9</v>
      </c>
    </row>
    <row r="252" spans="1:30" hidden="1" x14ac:dyDescent="0.3">
      <c r="A252" t="s">
        <v>33</v>
      </c>
      <c r="B252">
        <v>2020</v>
      </c>
      <c r="C252" t="s">
        <v>31</v>
      </c>
      <c r="D252">
        <v>145.6</v>
      </c>
      <c r="E252">
        <v>167.6</v>
      </c>
      <c r="F252">
        <v>157</v>
      </c>
      <c r="G252">
        <v>149.30000000000001</v>
      </c>
      <c r="H252">
        <v>126.3</v>
      </c>
      <c r="I252">
        <v>144.4</v>
      </c>
      <c r="J252">
        <v>207.8</v>
      </c>
      <c r="K252">
        <v>139.1</v>
      </c>
      <c r="L252">
        <v>114.8</v>
      </c>
      <c r="M252">
        <v>149.5</v>
      </c>
      <c r="N252">
        <v>131.1</v>
      </c>
      <c r="O252">
        <v>158.5</v>
      </c>
      <c r="P252">
        <v>154.4</v>
      </c>
      <c r="Q252">
        <v>170.8</v>
      </c>
      <c r="R252">
        <v>147</v>
      </c>
      <c r="S252">
        <v>133.19999999999999</v>
      </c>
      <c r="T252">
        <v>144.9</v>
      </c>
      <c r="U252">
        <v>153.9</v>
      </c>
      <c r="V252">
        <v>135.1</v>
      </c>
      <c r="W252">
        <v>140.1</v>
      </c>
      <c r="X252">
        <v>143.80000000000001</v>
      </c>
      <c r="Y252">
        <v>126.1</v>
      </c>
      <c r="Z252">
        <v>137.19999999999999</v>
      </c>
      <c r="AA252">
        <v>152.1</v>
      </c>
      <c r="AB252">
        <v>142.1</v>
      </c>
      <c r="AC252">
        <v>138.4</v>
      </c>
      <c r="AD252">
        <v>148.19999999999999</v>
      </c>
    </row>
    <row r="253" spans="1:30" hidden="1" x14ac:dyDescent="0.3">
      <c r="A253" t="s">
        <v>34</v>
      </c>
      <c r="B253">
        <v>2020</v>
      </c>
      <c r="C253" t="s">
        <v>31</v>
      </c>
      <c r="D253">
        <v>144.30000000000001</v>
      </c>
      <c r="E253">
        <v>167.4</v>
      </c>
      <c r="F253">
        <v>154.9</v>
      </c>
      <c r="G253">
        <v>150.1</v>
      </c>
      <c r="H253">
        <v>129.9</v>
      </c>
      <c r="I253">
        <v>143.19999999999999</v>
      </c>
      <c r="J253">
        <v>197</v>
      </c>
      <c r="K253">
        <v>140.4</v>
      </c>
      <c r="L253">
        <v>114.1</v>
      </c>
      <c r="M253">
        <v>150.9</v>
      </c>
      <c r="N253">
        <v>136.1</v>
      </c>
      <c r="O253">
        <v>158.6</v>
      </c>
      <c r="P253">
        <v>153.5</v>
      </c>
      <c r="Q253">
        <v>169.2</v>
      </c>
      <c r="R253">
        <v>150.5</v>
      </c>
      <c r="S253">
        <v>141.5</v>
      </c>
      <c r="T253">
        <v>149.19999999999999</v>
      </c>
      <c r="U253">
        <v>153.9</v>
      </c>
      <c r="V253">
        <v>144.6</v>
      </c>
      <c r="W253">
        <v>146.19999999999999</v>
      </c>
      <c r="X253">
        <v>151.19999999999999</v>
      </c>
      <c r="Y253">
        <v>130.9</v>
      </c>
      <c r="Z253">
        <v>142.80000000000001</v>
      </c>
      <c r="AA253">
        <v>156.1</v>
      </c>
      <c r="AB253">
        <v>142.30000000000001</v>
      </c>
      <c r="AC253">
        <v>143.4</v>
      </c>
      <c r="AD253">
        <v>150.19999999999999</v>
      </c>
    </row>
    <row r="254" spans="1:30" hidden="1" x14ac:dyDescent="0.3">
      <c r="A254" t="s">
        <v>30</v>
      </c>
      <c r="B254">
        <v>2020</v>
      </c>
      <c r="C254" t="s">
        <v>35</v>
      </c>
      <c r="D254">
        <v>144.19999999999999</v>
      </c>
      <c r="E254">
        <v>167.5</v>
      </c>
      <c r="F254">
        <v>150.9</v>
      </c>
      <c r="G254">
        <v>150.9</v>
      </c>
      <c r="H254">
        <v>133.69999999999999</v>
      </c>
      <c r="I254">
        <v>140.69999999999999</v>
      </c>
      <c r="J254">
        <v>165.1</v>
      </c>
      <c r="K254">
        <v>141.80000000000001</v>
      </c>
      <c r="L254">
        <v>113.1</v>
      </c>
      <c r="M254">
        <v>152.80000000000001</v>
      </c>
      <c r="N254">
        <v>140.1</v>
      </c>
      <c r="O254">
        <v>159.19999999999999</v>
      </c>
      <c r="P254">
        <v>149.80000000000001</v>
      </c>
      <c r="Q254">
        <v>169.4</v>
      </c>
      <c r="R254">
        <v>153</v>
      </c>
      <c r="S254">
        <v>147.5</v>
      </c>
      <c r="T254">
        <v>152.30000000000001</v>
      </c>
      <c r="U254" t="s">
        <v>32</v>
      </c>
      <c r="V254">
        <v>152.30000000000001</v>
      </c>
      <c r="W254">
        <v>151.80000000000001</v>
      </c>
      <c r="X254">
        <v>156.19999999999999</v>
      </c>
      <c r="Y254">
        <v>136</v>
      </c>
      <c r="Z254">
        <v>150.4</v>
      </c>
      <c r="AA254">
        <v>161.9</v>
      </c>
      <c r="AB254">
        <v>143.4</v>
      </c>
      <c r="AC254">
        <v>148.4</v>
      </c>
      <c r="AD254">
        <v>150.4</v>
      </c>
    </row>
    <row r="255" spans="1:30" hidden="1" x14ac:dyDescent="0.3">
      <c r="A255" t="s">
        <v>33</v>
      </c>
      <c r="B255">
        <v>2020</v>
      </c>
      <c r="C255" t="s">
        <v>35</v>
      </c>
      <c r="D255">
        <v>146.19999999999999</v>
      </c>
      <c r="E255">
        <v>167.6</v>
      </c>
      <c r="F255">
        <v>153.1</v>
      </c>
      <c r="G255">
        <v>150.69999999999999</v>
      </c>
      <c r="H255">
        <v>127.4</v>
      </c>
      <c r="I255">
        <v>143.1</v>
      </c>
      <c r="J255">
        <v>181.7</v>
      </c>
      <c r="K255">
        <v>139.6</v>
      </c>
      <c r="L255">
        <v>114.6</v>
      </c>
      <c r="M255">
        <v>150.4</v>
      </c>
      <c r="N255">
        <v>131.5</v>
      </c>
      <c r="O255">
        <v>159</v>
      </c>
      <c r="P255">
        <v>151.69999999999999</v>
      </c>
      <c r="Q255">
        <v>172</v>
      </c>
      <c r="R255">
        <v>147.30000000000001</v>
      </c>
      <c r="S255">
        <v>133.5</v>
      </c>
      <c r="T255">
        <v>145.19999999999999</v>
      </c>
      <c r="U255">
        <v>154.80000000000001</v>
      </c>
      <c r="V255">
        <v>138.9</v>
      </c>
      <c r="W255">
        <v>140.4</v>
      </c>
      <c r="X255">
        <v>144.4</v>
      </c>
      <c r="Y255">
        <v>125.2</v>
      </c>
      <c r="Z255">
        <v>137.69999999999999</v>
      </c>
      <c r="AA255">
        <v>152.19999999999999</v>
      </c>
      <c r="AB255">
        <v>143.5</v>
      </c>
      <c r="AC255">
        <v>138.4</v>
      </c>
      <c r="AD255">
        <v>147.69999999999999</v>
      </c>
    </row>
    <row r="256" spans="1:30" hidden="1" x14ac:dyDescent="0.3">
      <c r="A256" t="s">
        <v>34</v>
      </c>
      <c r="B256">
        <v>2020</v>
      </c>
      <c r="C256" t="s">
        <v>35</v>
      </c>
      <c r="D256">
        <v>144.80000000000001</v>
      </c>
      <c r="E256">
        <v>167.5</v>
      </c>
      <c r="F256">
        <v>151.80000000000001</v>
      </c>
      <c r="G256">
        <v>150.80000000000001</v>
      </c>
      <c r="H256">
        <v>131.4</v>
      </c>
      <c r="I256">
        <v>141.80000000000001</v>
      </c>
      <c r="J256">
        <v>170.7</v>
      </c>
      <c r="K256">
        <v>141.1</v>
      </c>
      <c r="L256">
        <v>113.6</v>
      </c>
      <c r="M256">
        <v>152</v>
      </c>
      <c r="N256">
        <v>136.5</v>
      </c>
      <c r="O256">
        <v>159.1</v>
      </c>
      <c r="P256">
        <v>150.5</v>
      </c>
      <c r="Q256">
        <v>170.1</v>
      </c>
      <c r="R256">
        <v>150.80000000000001</v>
      </c>
      <c r="S256">
        <v>141.69999999999999</v>
      </c>
      <c r="T256">
        <v>149.5</v>
      </c>
      <c r="U256">
        <v>154.80000000000001</v>
      </c>
      <c r="V256">
        <v>147.19999999999999</v>
      </c>
      <c r="W256">
        <v>146.4</v>
      </c>
      <c r="X256">
        <v>151.69999999999999</v>
      </c>
      <c r="Y256">
        <v>130.30000000000001</v>
      </c>
      <c r="Z256">
        <v>143.19999999999999</v>
      </c>
      <c r="AA256">
        <v>156.19999999999999</v>
      </c>
      <c r="AB256">
        <v>143.4</v>
      </c>
      <c r="AC256">
        <v>143.6</v>
      </c>
      <c r="AD256">
        <v>149.1</v>
      </c>
    </row>
    <row r="257" spans="1:30" hidden="1" x14ac:dyDescent="0.3">
      <c r="A257" t="s">
        <v>30</v>
      </c>
      <c r="B257">
        <v>2020</v>
      </c>
      <c r="C257" t="s">
        <v>36</v>
      </c>
      <c r="D257">
        <v>144.4</v>
      </c>
      <c r="E257">
        <v>166.8</v>
      </c>
      <c r="F257">
        <v>147.6</v>
      </c>
      <c r="G257">
        <v>151.69999999999999</v>
      </c>
      <c r="H257">
        <v>133.30000000000001</v>
      </c>
      <c r="I257">
        <v>141.80000000000001</v>
      </c>
      <c r="J257">
        <v>152.30000000000001</v>
      </c>
      <c r="K257">
        <v>141.80000000000001</v>
      </c>
      <c r="L257">
        <v>112.6</v>
      </c>
      <c r="M257">
        <v>154</v>
      </c>
      <c r="N257">
        <v>140.1</v>
      </c>
      <c r="O257">
        <v>160</v>
      </c>
      <c r="P257">
        <v>148.19999999999999</v>
      </c>
      <c r="Q257">
        <v>170.5</v>
      </c>
      <c r="R257">
        <v>153.4</v>
      </c>
      <c r="S257">
        <v>147.6</v>
      </c>
      <c r="T257">
        <v>152.5</v>
      </c>
      <c r="U257" t="s">
        <v>32</v>
      </c>
      <c r="V257">
        <v>153.4</v>
      </c>
      <c r="W257">
        <v>151.5</v>
      </c>
      <c r="X257">
        <v>156.69999999999999</v>
      </c>
      <c r="Y257">
        <v>135.80000000000001</v>
      </c>
      <c r="Z257">
        <v>151.19999999999999</v>
      </c>
      <c r="AA257">
        <v>161.19999999999999</v>
      </c>
      <c r="AB257">
        <v>145.1</v>
      </c>
      <c r="AC257">
        <v>148.6</v>
      </c>
      <c r="AD257">
        <v>149.80000000000001</v>
      </c>
    </row>
    <row r="258" spans="1:30" hidden="1" x14ac:dyDescent="0.3">
      <c r="A258" t="s">
        <v>33</v>
      </c>
      <c r="B258">
        <v>2020</v>
      </c>
      <c r="C258" t="s">
        <v>36</v>
      </c>
      <c r="D258">
        <v>146.5</v>
      </c>
      <c r="E258">
        <v>167.5</v>
      </c>
      <c r="F258">
        <v>148.9</v>
      </c>
      <c r="G258">
        <v>151.1</v>
      </c>
      <c r="H258">
        <v>127.5</v>
      </c>
      <c r="I258">
        <v>143.30000000000001</v>
      </c>
      <c r="J258">
        <v>167</v>
      </c>
      <c r="K258">
        <v>139.69999999999999</v>
      </c>
      <c r="L258">
        <v>114.4</v>
      </c>
      <c r="M258">
        <v>151.5</v>
      </c>
      <c r="N258">
        <v>131.9</v>
      </c>
      <c r="O258">
        <v>159.1</v>
      </c>
      <c r="P258">
        <v>150.1</v>
      </c>
      <c r="Q258">
        <v>173.3</v>
      </c>
      <c r="R258">
        <v>147.69999999999999</v>
      </c>
      <c r="S258">
        <v>133.80000000000001</v>
      </c>
      <c r="T258">
        <v>145.6</v>
      </c>
      <c r="U258">
        <v>154.5</v>
      </c>
      <c r="V258">
        <v>141.4</v>
      </c>
      <c r="W258">
        <v>140.80000000000001</v>
      </c>
      <c r="X258">
        <v>145</v>
      </c>
      <c r="Y258">
        <v>124.6</v>
      </c>
      <c r="Z258">
        <v>137.9</v>
      </c>
      <c r="AA258">
        <v>152.5</v>
      </c>
      <c r="AB258">
        <v>145.30000000000001</v>
      </c>
      <c r="AC258">
        <v>138.69999999999999</v>
      </c>
      <c r="AD258">
        <v>147.30000000000001</v>
      </c>
    </row>
    <row r="259" spans="1:30" hidden="1" x14ac:dyDescent="0.3">
      <c r="A259" t="s">
        <v>34</v>
      </c>
      <c r="B259">
        <v>2020</v>
      </c>
      <c r="C259" t="s">
        <v>36</v>
      </c>
      <c r="D259">
        <v>145.1</v>
      </c>
      <c r="E259">
        <v>167</v>
      </c>
      <c r="F259">
        <v>148.1</v>
      </c>
      <c r="G259">
        <v>151.5</v>
      </c>
      <c r="H259">
        <v>131.19999999999999</v>
      </c>
      <c r="I259">
        <v>142.5</v>
      </c>
      <c r="J259">
        <v>157.30000000000001</v>
      </c>
      <c r="K259">
        <v>141.1</v>
      </c>
      <c r="L259">
        <v>113.2</v>
      </c>
      <c r="M259">
        <v>153.19999999999999</v>
      </c>
      <c r="N259">
        <v>136.69999999999999</v>
      </c>
      <c r="O259">
        <v>159.6</v>
      </c>
      <c r="P259">
        <v>148.9</v>
      </c>
      <c r="Q259">
        <v>171.2</v>
      </c>
      <c r="R259">
        <v>151.19999999999999</v>
      </c>
      <c r="S259">
        <v>141.9</v>
      </c>
      <c r="T259">
        <v>149.80000000000001</v>
      </c>
      <c r="U259">
        <v>154.5</v>
      </c>
      <c r="V259">
        <v>148.9</v>
      </c>
      <c r="W259">
        <v>146.4</v>
      </c>
      <c r="X259">
        <v>152.30000000000001</v>
      </c>
      <c r="Y259">
        <v>129.9</v>
      </c>
      <c r="Z259">
        <v>143.69999999999999</v>
      </c>
      <c r="AA259">
        <v>156.1</v>
      </c>
      <c r="AB259">
        <v>145.19999999999999</v>
      </c>
      <c r="AC259">
        <v>143.80000000000001</v>
      </c>
      <c r="AD259">
        <v>148.6</v>
      </c>
    </row>
    <row r="260" spans="1:30" hidden="1" x14ac:dyDescent="0.3">
      <c r="A260" t="s">
        <v>30</v>
      </c>
      <c r="B260">
        <v>2020</v>
      </c>
      <c r="C260" t="s">
        <v>37</v>
      </c>
      <c r="D260">
        <v>147.19999999999999</v>
      </c>
      <c r="E260" t="s">
        <v>32</v>
      </c>
      <c r="F260">
        <v>146.9</v>
      </c>
      <c r="G260">
        <v>155.6</v>
      </c>
      <c r="H260">
        <v>137.1</v>
      </c>
      <c r="I260">
        <v>147.30000000000001</v>
      </c>
      <c r="J260">
        <v>162.69999999999999</v>
      </c>
      <c r="K260">
        <v>150.19999999999999</v>
      </c>
      <c r="L260">
        <v>119.8</v>
      </c>
      <c r="M260">
        <v>158.69999999999999</v>
      </c>
      <c r="N260">
        <v>139.19999999999999</v>
      </c>
      <c r="O260" t="s">
        <v>32</v>
      </c>
      <c r="P260">
        <v>150.1</v>
      </c>
      <c r="Q260" t="s">
        <v>32</v>
      </c>
      <c r="R260" t="s">
        <v>32</v>
      </c>
      <c r="S260" t="s">
        <v>32</v>
      </c>
      <c r="T260" t="s">
        <v>32</v>
      </c>
      <c r="U260" t="s">
        <v>32</v>
      </c>
      <c r="V260">
        <v>148.4</v>
      </c>
      <c r="W260" t="s">
        <v>32</v>
      </c>
      <c r="X260">
        <v>154.30000000000001</v>
      </c>
      <c r="Y260" t="s">
        <v>32</v>
      </c>
      <c r="Z260" t="s">
        <v>32</v>
      </c>
      <c r="AA260" t="s">
        <v>32</v>
      </c>
      <c r="AB260" t="s">
        <v>32</v>
      </c>
      <c r="AC260" t="s">
        <v>32</v>
      </c>
      <c r="AD260" t="s">
        <v>32</v>
      </c>
    </row>
    <row r="261" spans="1:30" hidden="1" x14ac:dyDescent="0.3">
      <c r="A261" t="s">
        <v>33</v>
      </c>
      <c r="B261">
        <v>2020</v>
      </c>
      <c r="C261" t="s">
        <v>37</v>
      </c>
      <c r="D261">
        <v>151.80000000000001</v>
      </c>
      <c r="E261" t="s">
        <v>32</v>
      </c>
      <c r="F261">
        <v>151.9</v>
      </c>
      <c r="G261">
        <v>155.5</v>
      </c>
      <c r="H261">
        <v>131.6</v>
      </c>
      <c r="I261">
        <v>152.9</v>
      </c>
      <c r="J261">
        <v>180</v>
      </c>
      <c r="K261">
        <v>150.80000000000001</v>
      </c>
      <c r="L261">
        <v>121.2</v>
      </c>
      <c r="M261">
        <v>154</v>
      </c>
      <c r="N261">
        <v>133.5</v>
      </c>
      <c r="O261" t="s">
        <v>32</v>
      </c>
      <c r="P261">
        <v>153.5</v>
      </c>
      <c r="Q261" t="s">
        <v>32</v>
      </c>
      <c r="R261" t="s">
        <v>32</v>
      </c>
      <c r="S261" t="s">
        <v>32</v>
      </c>
      <c r="T261" t="s">
        <v>32</v>
      </c>
      <c r="U261">
        <v>155.6</v>
      </c>
      <c r="V261">
        <v>137.1</v>
      </c>
      <c r="W261" t="s">
        <v>32</v>
      </c>
      <c r="X261">
        <v>144.80000000000001</v>
      </c>
      <c r="Y261" t="s">
        <v>32</v>
      </c>
      <c r="Z261" t="s">
        <v>32</v>
      </c>
      <c r="AA261" t="s">
        <v>32</v>
      </c>
      <c r="AB261" t="s">
        <v>32</v>
      </c>
      <c r="AC261" t="s">
        <v>32</v>
      </c>
      <c r="AD261" t="s">
        <v>32</v>
      </c>
    </row>
    <row r="262" spans="1:30" hidden="1" x14ac:dyDescent="0.3">
      <c r="A262" t="s">
        <v>34</v>
      </c>
      <c r="B262">
        <v>2020</v>
      </c>
      <c r="C262" t="s">
        <v>37</v>
      </c>
      <c r="D262">
        <v>148.69999999999999</v>
      </c>
      <c r="E262" t="s">
        <v>32</v>
      </c>
      <c r="F262">
        <v>148.80000000000001</v>
      </c>
      <c r="G262">
        <v>155.6</v>
      </c>
      <c r="H262">
        <v>135.1</v>
      </c>
      <c r="I262">
        <v>149.9</v>
      </c>
      <c r="J262">
        <v>168.6</v>
      </c>
      <c r="K262">
        <v>150.4</v>
      </c>
      <c r="L262">
        <v>120.3</v>
      </c>
      <c r="M262">
        <v>157.1</v>
      </c>
      <c r="N262">
        <v>136.80000000000001</v>
      </c>
      <c r="O262" t="s">
        <v>32</v>
      </c>
      <c r="P262">
        <v>151.4</v>
      </c>
      <c r="Q262" t="s">
        <v>32</v>
      </c>
      <c r="R262" t="s">
        <v>32</v>
      </c>
      <c r="S262" t="s">
        <v>32</v>
      </c>
      <c r="T262" t="s">
        <v>32</v>
      </c>
      <c r="U262">
        <v>155.6</v>
      </c>
      <c r="V262">
        <v>144.1</v>
      </c>
      <c r="W262" t="s">
        <v>32</v>
      </c>
      <c r="X262">
        <v>150.69999999999999</v>
      </c>
      <c r="Y262" t="s">
        <v>32</v>
      </c>
      <c r="Z262" t="s">
        <v>32</v>
      </c>
      <c r="AA262" t="s">
        <v>32</v>
      </c>
      <c r="AB262" t="s">
        <v>32</v>
      </c>
      <c r="AC262" t="s">
        <v>32</v>
      </c>
      <c r="AD262" t="s">
        <v>32</v>
      </c>
    </row>
    <row r="263" spans="1:30" hidden="1" x14ac:dyDescent="0.3">
      <c r="A263" t="s">
        <v>30</v>
      </c>
      <c r="B263">
        <v>2020</v>
      </c>
      <c r="C263" t="s">
        <v>38</v>
      </c>
      <c r="D263" t="s">
        <v>32</v>
      </c>
      <c r="E263" t="s">
        <v>32</v>
      </c>
      <c r="F263" t="s">
        <v>32</v>
      </c>
      <c r="G263" t="s">
        <v>32</v>
      </c>
      <c r="H263" t="s">
        <v>32</v>
      </c>
      <c r="I263" t="s">
        <v>32</v>
      </c>
      <c r="J263" t="s">
        <v>32</v>
      </c>
      <c r="K263" t="s">
        <v>32</v>
      </c>
      <c r="L263" t="s">
        <v>32</v>
      </c>
      <c r="M263" t="s">
        <v>32</v>
      </c>
      <c r="N263" t="s">
        <v>32</v>
      </c>
      <c r="O263" t="s">
        <v>32</v>
      </c>
      <c r="P263" t="s">
        <v>32</v>
      </c>
      <c r="Q263" t="s">
        <v>32</v>
      </c>
      <c r="R263" t="s">
        <v>32</v>
      </c>
      <c r="S263" t="s">
        <v>32</v>
      </c>
      <c r="T263" t="s">
        <v>32</v>
      </c>
      <c r="U263" t="s">
        <v>32</v>
      </c>
      <c r="V263" t="s">
        <v>32</v>
      </c>
      <c r="W263" t="s">
        <v>32</v>
      </c>
      <c r="X263" t="s">
        <v>32</v>
      </c>
      <c r="Y263" t="s">
        <v>32</v>
      </c>
      <c r="Z263" t="s">
        <v>32</v>
      </c>
      <c r="AA263" t="s">
        <v>32</v>
      </c>
      <c r="AB263" t="s">
        <v>32</v>
      </c>
      <c r="AC263" t="s">
        <v>32</v>
      </c>
      <c r="AD263" t="s">
        <v>32</v>
      </c>
    </row>
    <row r="264" spans="1:30" hidden="1" x14ac:dyDescent="0.3">
      <c r="A264" t="s">
        <v>33</v>
      </c>
      <c r="B264">
        <v>2020</v>
      </c>
      <c r="C264" t="s">
        <v>38</v>
      </c>
      <c r="D264" t="s">
        <v>32</v>
      </c>
      <c r="E264" t="s">
        <v>32</v>
      </c>
      <c r="F264" t="s">
        <v>32</v>
      </c>
      <c r="G264" t="s">
        <v>32</v>
      </c>
      <c r="H264" t="s">
        <v>32</v>
      </c>
      <c r="I264" t="s">
        <v>32</v>
      </c>
      <c r="J264" t="s">
        <v>32</v>
      </c>
      <c r="K264" t="s">
        <v>32</v>
      </c>
      <c r="L264" t="s">
        <v>32</v>
      </c>
      <c r="M264" t="s">
        <v>32</v>
      </c>
      <c r="N264" t="s">
        <v>32</v>
      </c>
      <c r="O264" t="s">
        <v>32</v>
      </c>
      <c r="P264" t="s">
        <v>32</v>
      </c>
      <c r="Q264" t="s">
        <v>32</v>
      </c>
      <c r="R264" t="s">
        <v>32</v>
      </c>
      <c r="S264" t="s">
        <v>32</v>
      </c>
      <c r="T264" t="s">
        <v>32</v>
      </c>
      <c r="U264" t="s">
        <v>32</v>
      </c>
      <c r="V264" t="s">
        <v>32</v>
      </c>
      <c r="W264" t="s">
        <v>32</v>
      </c>
      <c r="X264" t="s">
        <v>32</v>
      </c>
      <c r="Y264" t="s">
        <v>32</v>
      </c>
      <c r="Z264" t="s">
        <v>32</v>
      </c>
      <c r="AA264" t="s">
        <v>32</v>
      </c>
      <c r="AB264" t="s">
        <v>32</v>
      </c>
      <c r="AC264" t="s">
        <v>32</v>
      </c>
      <c r="AD264" t="s">
        <v>32</v>
      </c>
    </row>
    <row r="265" spans="1:30" hidden="1" x14ac:dyDescent="0.3">
      <c r="A265" t="s">
        <v>34</v>
      </c>
      <c r="B265">
        <v>2020</v>
      </c>
      <c r="C265" t="s">
        <v>38</v>
      </c>
      <c r="D265" t="s">
        <v>32</v>
      </c>
      <c r="E265" t="s">
        <v>32</v>
      </c>
      <c r="F265" t="s">
        <v>32</v>
      </c>
      <c r="G265" t="s">
        <v>32</v>
      </c>
      <c r="H265" t="s">
        <v>32</v>
      </c>
      <c r="I265" t="s">
        <v>32</v>
      </c>
      <c r="J265" t="s">
        <v>32</v>
      </c>
      <c r="K265" t="s">
        <v>32</v>
      </c>
      <c r="L265" t="s">
        <v>32</v>
      </c>
      <c r="M265" t="s">
        <v>32</v>
      </c>
      <c r="N265" t="s">
        <v>32</v>
      </c>
      <c r="O265" t="s">
        <v>32</v>
      </c>
      <c r="P265" t="s">
        <v>32</v>
      </c>
      <c r="Q265" t="s">
        <v>32</v>
      </c>
      <c r="R265" t="s">
        <v>32</v>
      </c>
      <c r="S265" t="s">
        <v>32</v>
      </c>
      <c r="T265" t="s">
        <v>32</v>
      </c>
      <c r="U265" t="s">
        <v>32</v>
      </c>
      <c r="V265" t="s">
        <v>32</v>
      </c>
      <c r="W265" t="s">
        <v>32</v>
      </c>
      <c r="X265" t="s">
        <v>32</v>
      </c>
      <c r="Y265" t="s">
        <v>32</v>
      </c>
      <c r="Z265" t="s">
        <v>32</v>
      </c>
      <c r="AA265" t="s">
        <v>32</v>
      </c>
      <c r="AB265" t="s">
        <v>32</v>
      </c>
      <c r="AC265" t="s">
        <v>32</v>
      </c>
      <c r="AD265" t="s">
        <v>32</v>
      </c>
    </row>
    <row r="266" spans="1:30" hidden="1" x14ac:dyDescent="0.3">
      <c r="A266" t="s">
        <v>30</v>
      </c>
      <c r="B266">
        <v>2020</v>
      </c>
      <c r="C266" t="s">
        <v>39</v>
      </c>
      <c r="D266">
        <v>148.19999999999999</v>
      </c>
      <c r="E266">
        <v>190.3</v>
      </c>
      <c r="F266">
        <v>149.4</v>
      </c>
      <c r="G266">
        <v>153.30000000000001</v>
      </c>
      <c r="H266">
        <v>138.19999999999999</v>
      </c>
      <c r="I266">
        <v>143.19999999999999</v>
      </c>
      <c r="J266">
        <v>148.9</v>
      </c>
      <c r="K266">
        <v>150.30000000000001</v>
      </c>
      <c r="L266">
        <v>113.2</v>
      </c>
      <c r="M266">
        <v>159.80000000000001</v>
      </c>
      <c r="N266">
        <v>142.1</v>
      </c>
      <c r="O266">
        <v>161.80000000000001</v>
      </c>
      <c r="P266">
        <v>152.30000000000001</v>
      </c>
      <c r="Q266">
        <v>182.4</v>
      </c>
      <c r="R266">
        <v>154.69999999999999</v>
      </c>
      <c r="S266">
        <v>150</v>
      </c>
      <c r="T266">
        <v>154.1</v>
      </c>
      <c r="U266" t="s">
        <v>32</v>
      </c>
      <c r="V266">
        <v>144.9</v>
      </c>
      <c r="W266">
        <v>151.69999999999999</v>
      </c>
      <c r="X266">
        <v>158.19999999999999</v>
      </c>
      <c r="Y266">
        <v>141.4</v>
      </c>
      <c r="Z266">
        <v>153.19999999999999</v>
      </c>
      <c r="AA266">
        <v>161.80000000000001</v>
      </c>
      <c r="AB266">
        <v>151.19999999999999</v>
      </c>
      <c r="AC266">
        <v>151.69999999999999</v>
      </c>
      <c r="AD266">
        <v>152.69999999999999</v>
      </c>
    </row>
    <row r="267" spans="1:30" hidden="1" x14ac:dyDescent="0.3">
      <c r="A267" t="s">
        <v>33</v>
      </c>
      <c r="B267">
        <v>2020</v>
      </c>
      <c r="C267" t="s">
        <v>39</v>
      </c>
      <c r="D267">
        <v>152.69999999999999</v>
      </c>
      <c r="E267">
        <v>197</v>
      </c>
      <c r="F267">
        <v>154.6</v>
      </c>
      <c r="G267">
        <v>153.4</v>
      </c>
      <c r="H267">
        <v>132.9</v>
      </c>
      <c r="I267">
        <v>151.80000000000001</v>
      </c>
      <c r="J267">
        <v>171.2</v>
      </c>
      <c r="K267">
        <v>152</v>
      </c>
      <c r="L267">
        <v>116.3</v>
      </c>
      <c r="M267">
        <v>158.80000000000001</v>
      </c>
      <c r="N267">
        <v>135.6</v>
      </c>
      <c r="O267">
        <v>161.69999999999999</v>
      </c>
      <c r="P267">
        <v>157</v>
      </c>
      <c r="Q267">
        <v>186.7</v>
      </c>
      <c r="R267">
        <v>149.1</v>
      </c>
      <c r="S267">
        <v>136.6</v>
      </c>
      <c r="T267">
        <v>147.19999999999999</v>
      </c>
      <c r="U267">
        <v>154.69999999999999</v>
      </c>
      <c r="V267">
        <v>137.1</v>
      </c>
      <c r="W267">
        <v>140.4</v>
      </c>
      <c r="X267">
        <v>148.1</v>
      </c>
      <c r="Y267">
        <v>129.30000000000001</v>
      </c>
      <c r="Z267">
        <v>144.5</v>
      </c>
      <c r="AA267">
        <v>152.5</v>
      </c>
      <c r="AB267">
        <v>152.19999999999999</v>
      </c>
      <c r="AC267">
        <v>142</v>
      </c>
      <c r="AD267">
        <v>150.80000000000001</v>
      </c>
    </row>
    <row r="268" spans="1:30" hidden="1" x14ac:dyDescent="0.3">
      <c r="A268" t="s">
        <v>34</v>
      </c>
      <c r="B268">
        <v>2020</v>
      </c>
      <c r="C268" t="s">
        <v>39</v>
      </c>
      <c r="D268">
        <v>149.6</v>
      </c>
      <c r="E268">
        <v>192.7</v>
      </c>
      <c r="F268">
        <v>151.4</v>
      </c>
      <c r="G268">
        <v>153.30000000000001</v>
      </c>
      <c r="H268">
        <v>136.30000000000001</v>
      </c>
      <c r="I268">
        <v>147.19999999999999</v>
      </c>
      <c r="J268">
        <v>156.5</v>
      </c>
      <c r="K268">
        <v>150.9</v>
      </c>
      <c r="L268">
        <v>114.2</v>
      </c>
      <c r="M268">
        <v>159.5</v>
      </c>
      <c r="N268">
        <v>139.4</v>
      </c>
      <c r="O268">
        <v>161.80000000000001</v>
      </c>
      <c r="P268">
        <v>154</v>
      </c>
      <c r="Q268">
        <v>183.5</v>
      </c>
      <c r="R268">
        <v>152.5</v>
      </c>
      <c r="S268">
        <v>144.4</v>
      </c>
      <c r="T268">
        <v>151.4</v>
      </c>
      <c r="U268">
        <v>154.69999999999999</v>
      </c>
      <c r="V268">
        <v>141.9</v>
      </c>
      <c r="W268">
        <v>146.4</v>
      </c>
      <c r="X268">
        <v>154.4</v>
      </c>
      <c r="Y268">
        <v>135</v>
      </c>
      <c r="Z268">
        <v>148.30000000000001</v>
      </c>
      <c r="AA268">
        <v>156.4</v>
      </c>
      <c r="AB268">
        <v>151.6</v>
      </c>
      <c r="AC268">
        <v>147</v>
      </c>
      <c r="AD268">
        <v>151.80000000000001</v>
      </c>
    </row>
    <row r="269" spans="1:30" hidden="1" x14ac:dyDescent="0.3">
      <c r="A269" t="s">
        <v>30</v>
      </c>
      <c r="B269">
        <v>2020</v>
      </c>
      <c r="C269" t="s">
        <v>40</v>
      </c>
      <c r="D269">
        <v>148.19999999999999</v>
      </c>
      <c r="E269">
        <v>190.3</v>
      </c>
      <c r="F269">
        <v>149.4</v>
      </c>
      <c r="G269">
        <v>153.30000000000001</v>
      </c>
      <c r="H269">
        <v>138.19999999999999</v>
      </c>
      <c r="I269">
        <v>143.19999999999999</v>
      </c>
      <c r="J269">
        <v>148.9</v>
      </c>
      <c r="K269">
        <v>150.30000000000001</v>
      </c>
      <c r="L269">
        <v>113.2</v>
      </c>
      <c r="M269">
        <v>159.80000000000001</v>
      </c>
      <c r="N269">
        <v>142.1</v>
      </c>
      <c r="O269">
        <v>161.80000000000001</v>
      </c>
      <c r="P269">
        <v>152.30000000000001</v>
      </c>
      <c r="Q269">
        <v>182.4</v>
      </c>
      <c r="R269">
        <v>154.69999999999999</v>
      </c>
      <c r="S269">
        <v>150</v>
      </c>
      <c r="T269">
        <v>154.1</v>
      </c>
      <c r="U269" t="s">
        <v>32</v>
      </c>
      <c r="V269">
        <v>144.9</v>
      </c>
      <c r="W269">
        <v>151.69999999999999</v>
      </c>
      <c r="X269">
        <v>158.19999999999999</v>
      </c>
      <c r="Y269">
        <v>141.4</v>
      </c>
      <c r="Z269">
        <v>153.19999999999999</v>
      </c>
      <c r="AA269">
        <v>161.80000000000001</v>
      </c>
      <c r="AB269">
        <v>151.19999999999999</v>
      </c>
      <c r="AC269">
        <v>151.69999999999999</v>
      </c>
      <c r="AD269">
        <v>152.69999999999999</v>
      </c>
    </row>
    <row r="270" spans="1:30" hidden="1" x14ac:dyDescent="0.3">
      <c r="A270" t="s">
        <v>33</v>
      </c>
      <c r="B270">
        <v>2020</v>
      </c>
      <c r="C270" t="s">
        <v>40</v>
      </c>
      <c r="D270">
        <v>152.69999999999999</v>
      </c>
      <c r="E270">
        <v>197</v>
      </c>
      <c r="F270">
        <v>154.6</v>
      </c>
      <c r="G270">
        <v>153.4</v>
      </c>
      <c r="H270">
        <v>132.9</v>
      </c>
      <c r="I270">
        <v>151.80000000000001</v>
      </c>
      <c r="J270">
        <v>171.2</v>
      </c>
      <c r="K270">
        <v>152</v>
      </c>
      <c r="L270">
        <v>116.3</v>
      </c>
      <c r="M270">
        <v>158.80000000000001</v>
      </c>
      <c r="N270">
        <v>135.6</v>
      </c>
      <c r="O270">
        <v>161.69999999999999</v>
      </c>
      <c r="P270">
        <v>157</v>
      </c>
      <c r="Q270">
        <v>186.7</v>
      </c>
      <c r="R270">
        <v>149.1</v>
      </c>
      <c r="S270">
        <v>136.6</v>
      </c>
      <c r="T270">
        <v>147.19999999999999</v>
      </c>
      <c r="U270">
        <v>154.69999999999999</v>
      </c>
      <c r="V270">
        <v>137.1</v>
      </c>
      <c r="W270">
        <v>140.4</v>
      </c>
      <c r="X270">
        <v>148.1</v>
      </c>
      <c r="Y270">
        <v>129.30000000000001</v>
      </c>
      <c r="Z270">
        <v>144.5</v>
      </c>
      <c r="AA270">
        <v>152.5</v>
      </c>
      <c r="AB270">
        <v>152.19999999999999</v>
      </c>
      <c r="AC270">
        <v>142</v>
      </c>
      <c r="AD270">
        <v>150.80000000000001</v>
      </c>
    </row>
    <row r="271" spans="1:30" hidden="1" x14ac:dyDescent="0.3">
      <c r="A271" t="s">
        <v>34</v>
      </c>
      <c r="B271">
        <v>2020</v>
      </c>
      <c r="C271" t="s">
        <v>40</v>
      </c>
      <c r="D271">
        <v>149.6</v>
      </c>
      <c r="E271">
        <v>192.7</v>
      </c>
      <c r="F271">
        <v>151.4</v>
      </c>
      <c r="G271">
        <v>153.30000000000001</v>
      </c>
      <c r="H271">
        <v>136.30000000000001</v>
      </c>
      <c r="I271">
        <v>147.19999999999999</v>
      </c>
      <c r="J271">
        <v>156.5</v>
      </c>
      <c r="K271">
        <v>150.9</v>
      </c>
      <c r="L271">
        <v>114.2</v>
      </c>
      <c r="M271">
        <v>159.5</v>
      </c>
      <c r="N271">
        <v>139.4</v>
      </c>
      <c r="O271">
        <v>161.80000000000001</v>
      </c>
      <c r="P271">
        <v>154</v>
      </c>
      <c r="Q271">
        <v>183.5</v>
      </c>
      <c r="R271">
        <v>152.5</v>
      </c>
      <c r="S271">
        <v>144.4</v>
      </c>
      <c r="T271">
        <v>151.4</v>
      </c>
      <c r="U271">
        <v>154.69999999999999</v>
      </c>
      <c r="V271">
        <v>141.9</v>
      </c>
      <c r="W271">
        <v>146.4</v>
      </c>
      <c r="X271">
        <v>154.4</v>
      </c>
      <c r="Y271">
        <v>135</v>
      </c>
      <c r="Z271">
        <v>148.30000000000001</v>
      </c>
      <c r="AA271">
        <v>156.4</v>
      </c>
      <c r="AB271">
        <v>151.6</v>
      </c>
      <c r="AC271">
        <v>147</v>
      </c>
      <c r="AD271">
        <v>151.80000000000001</v>
      </c>
    </row>
    <row r="272" spans="1:30" hidden="1" x14ac:dyDescent="0.3">
      <c r="A272" t="s">
        <v>30</v>
      </c>
      <c r="B272">
        <v>2020</v>
      </c>
      <c r="C272" t="s">
        <v>41</v>
      </c>
      <c r="D272">
        <v>147.6</v>
      </c>
      <c r="E272">
        <v>187.2</v>
      </c>
      <c r="F272">
        <v>148.4</v>
      </c>
      <c r="G272">
        <v>153.30000000000001</v>
      </c>
      <c r="H272">
        <v>139.80000000000001</v>
      </c>
      <c r="I272">
        <v>146.9</v>
      </c>
      <c r="J272">
        <v>171</v>
      </c>
      <c r="K272">
        <v>149.9</v>
      </c>
      <c r="L272">
        <v>114.2</v>
      </c>
      <c r="M272">
        <v>160</v>
      </c>
      <c r="N272">
        <v>143.5</v>
      </c>
      <c r="O272">
        <v>161.5</v>
      </c>
      <c r="P272">
        <v>155.30000000000001</v>
      </c>
      <c r="Q272">
        <v>180.9</v>
      </c>
      <c r="R272">
        <v>155.1</v>
      </c>
      <c r="S272">
        <v>149.30000000000001</v>
      </c>
      <c r="T272">
        <v>154.30000000000001</v>
      </c>
      <c r="U272" t="s">
        <v>32</v>
      </c>
      <c r="V272">
        <v>145.80000000000001</v>
      </c>
      <c r="W272">
        <v>151.9</v>
      </c>
      <c r="X272">
        <v>158.80000000000001</v>
      </c>
      <c r="Y272">
        <v>143.6</v>
      </c>
      <c r="Z272">
        <v>152.19999999999999</v>
      </c>
      <c r="AA272">
        <v>162.69999999999999</v>
      </c>
      <c r="AB272">
        <v>153.6</v>
      </c>
      <c r="AC272">
        <v>153</v>
      </c>
      <c r="AD272">
        <v>154.69999999999999</v>
      </c>
    </row>
    <row r="273" spans="1:30" hidden="1" x14ac:dyDescent="0.3">
      <c r="A273" t="s">
        <v>33</v>
      </c>
      <c r="B273">
        <v>2020</v>
      </c>
      <c r="C273" t="s">
        <v>41</v>
      </c>
      <c r="D273">
        <v>151.6</v>
      </c>
      <c r="E273">
        <v>197.8</v>
      </c>
      <c r="F273">
        <v>154.5</v>
      </c>
      <c r="G273">
        <v>153.4</v>
      </c>
      <c r="H273">
        <v>133.4</v>
      </c>
      <c r="I273">
        <v>154.5</v>
      </c>
      <c r="J273">
        <v>191.9</v>
      </c>
      <c r="K273">
        <v>151.30000000000001</v>
      </c>
      <c r="L273">
        <v>116.8</v>
      </c>
      <c r="M273">
        <v>160</v>
      </c>
      <c r="N273">
        <v>136.5</v>
      </c>
      <c r="O273">
        <v>163.30000000000001</v>
      </c>
      <c r="P273">
        <v>159.9</v>
      </c>
      <c r="Q273">
        <v>187.2</v>
      </c>
      <c r="R273">
        <v>150</v>
      </c>
      <c r="S273">
        <v>135.19999999999999</v>
      </c>
      <c r="T273">
        <v>147.80000000000001</v>
      </c>
      <c r="U273">
        <v>155.5</v>
      </c>
      <c r="V273">
        <v>138.30000000000001</v>
      </c>
      <c r="W273">
        <v>144.5</v>
      </c>
      <c r="X273">
        <v>148.69999999999999</v>
      </c>
      <c r="Y273">
        <v>133.9</v>
      </c>
      <c r="Z273">
        <v>141.19999999999999</v>
      </c>
      <c r="AA273">
        <v>155.5</v>
      </c>
      <c r="AB273">
        <v>155.19999999999999</v>
      </c>
      <c r="AC273">
        <v>144.80000000000001</v>
      </c>
      <c r="AD273">
        <v>152.9</v>
      </c>
    </row>
    <row r="274" spans="1:30" hidden="1" x14ac:dyDescent="0.3">
      <c r="A274" t="s">
        <v>34</v>
      </c>
      <c r="B274">
        <v>2020</v>
      </c>
      <c r="C274" t="s">
        <v>41</v>
      </c>
      <c r="D274">
        <v>148.9</v>
      </c>
      <c r="E274">
        <v>190.9</v>
      </c>
      <c r="F274">
        <v>150.80000000000001</v>
      </c>
      <c r="G274">
        <v>153.30000000000001</v>
      </c>
      <c r="H274">
        <v>137.4</v>
      </c>
      <c r="I274">
        <v>150.4</v>
      </c>
      <c r="J274">
        <v>178.1</v>
      </c>
      <c r="K274">
        <v>150.4</v>
      </c>
      <c r="L274">
        <v>115.1</v>
      </c>
      <c r="M274">
        <v>160</v>
      </c>
      <c r="N274">
        <v>140.6</v>
      </c>
      <c r="O274">
        <v>162.30000000000001</v>
      </c>
      <c r="P274">
        <v>157</v>
      </c>
      <c r="Q274">
        <v>182.6</v>
      </c>
      <c r="R274">
        <v>153.1</v>
      </c>
      <c r="S274">
        <v>143.4</v>
      </c>
      <c r="T274">
        <v>151.69999999999999</v>
      </c>
      <c r="U274">
        <v>155.5</v>
      </c>
      <c r="V274">
        <v>143</v>
      </c>
      <c r="W274">
        <v>148.4</v>
      </c>
      <c r="X274">
        <v>155</v>
      </c>
      <c r="Y274">
        <v>138.5</v>
      </c>
      <c r="Z274">
        <v>146</v>
      </c>
      <c r="AA274">
        <v>158.5</v>
      </c>
      <c r="AB274">
        <v>154.30000000000001</v>
      </c>
      <c r="AC274">
        <v>149</v>
      </c>
      <c r="AD274">
        <v>153.9</v>
      </c>
    </row>
    <row r="275" spans="1:30" hidden="1" x14ac:dyDescent="0.3">
      <c r="A275" t="s">
        <v>30</v>
      </c>
      <c r="B275">
        <v>2020</v>
      </c>
      <c r="C275" t="s">
        <v>42</v>
      </c>
      <c r="D275">
        <v>146.9</v>
      </c>
      <c r="E275">
        <v>183.9</v>
      </c>
      <c r="F275">
        <v>149.5</v>
      </c>
      <c r="G275">
        <v>153.4</v>
      </c>
      <c r="H275">
        <v>140.4</v>
      </c>
      <c r="I275">
        <v>147</v>
      </c>
      <c r="J275">
        <v>178.8</v>
      </c>
      <c r="K275">
        <v>149.30000000000001</v>
      </c>
      <c r="L275">
        <v>115.1</v>
      </c>
      <c r="M275">
        <v>160</v>
      </c>
      <c r="N275">
        <v>145.4</v>
      </c>
      <c r="O275">
        <v>161.6</v>
      </c>
      <c r="P275">
        <v>156.1</v>
      </c>
      <c r="Q275">
        <v>182.9</v>
      </c>
      <c r="R275">
        <v>155.4</v>
      </c>
      <c r="S275">
        <v>149.9</v>
      </c>
      <c r="T275">
        <v>154.6</v>
      </c>
      <c r="U275" t="s">
        <v>32</v>
      </c>
      <c r="V275">
        <v>146.4</v>
      </c>
      <c r="W275">
        <v>151.6</v>
      </c>
      <c r="X275">
        <v>159.1</v>
      </c>
      <c r="Y275">
        <v>144.6</v>
      </c>
      <c r="Z275">
        <v>152.80000000000001</v>
      </c>
      <c r="AA275">
        <v>161.1</v>
      </c>
      <c r="AB275">
        <v>157.4</v>
      </c>
      <c r="AC275">
        <v>153.69999999999999</v>
      </c>
      <c r="AD275">
        <v>155.4</v>
      </c>
    </row>
    <row r="276" spans="1:30" hidden="1" x14ac:dyDescent="0.3">
      <c r="A276" t="s">
        <v>33</v>
      </c>
      <c r="B276">
        <v>2020</v>
      </c>
      <c r="C276" t="s">
        <v>42</v>
      </c>
      <c r="D276">
        <v>151.5</v>
      </c>
      <c r="E276">
        <v>193.1</v>
      </c>
      <c r="F276">
        <v>157.30000000000001</v>
      </c>
      <c r="G276">
        <v>153.9</v>
      </c>
      <c r="H276">
        <v>134.4</v>
      </c>
      <c r="I276">
        <v>155.4</v>
      </c>
      <c r="J276">
        <v>202</v>
      </c>
      <c r="K276">
        <v>150.80000000000001</v>
      </c>
      <c r="L276">
        <v>118.9</v>
      </c>
      <c r="M276">
        <v>160.9</v>
      </c>
      <c r="N276">
        <v>137.69999999999999</v>
      </c>
      <c r="O276">
        <v>164.4</v>
      </c>
      <c r="P276">
        <v>161.30000000000001</v>
      </c>
      <c r="Q276">
        <v>188.7</v>
      </c>
      <c r="R276">
        <v>150.19999999999999</v>
      </c>
      <c r="S276">
        <v>136.30000000000001</v>
      </c>
      <c r="T276">
        <v>148.1</v>
      </c>
      <c r="U276">
        <v>156.30000000000001</v>
      </c>
      <c r="V276">
        <v>137.19999999999999</v>
      </c>
      <c r="W276">
        <v>145.4</v>
      </c>
      <c r="X276">
        <v>150</v>
      </c>
      <c r="Y276">
        <v>135.1</v>
      </c>
      <c r="Z276">
        <v>141.80000000000001</v>
      </c>
      <c r="AA276">
        <v>154.9</v>
      </c>
      <c r="AB276">
        <v>159.80000000000001</v>
      </c>
      <c r="AC276">
        <v>146</v>
      </c>
      <c r="AD276">
        <v>154</v>
      </c>
    </row>
    <row r="277" spans="1:30" hidden="1" x14ac:dyDescent="0.3">
      <c r="A277" t="s">
        <v>34</v>
      </c>
      <c r="B277">
        <v>2020</v>
      </c>
      <c r="C277" t="s">
        <v>42</v>
      </c>
      <c r="D277">
        <v>148.4</v>
      </c>
      <c r="E277">
        <v>187.1</v>
      </c>
      <c r="F277">
        <v>152.5</v>
      </c>
      <c r="G277">
        <v>153.6</v>
      </c>
      <c r="H277">
        <v>138.19999999999999</v>
      </c>
      <c r="I277">
        <v>150.9</v>
      </c>
      <c r="J277">
        <v>186.7</v>
      </c>
      <c r="K277">
        <v>149.80000000000001</v>
      </c>
      <c r="L277">
        <v>116.4</v>
      </c>
      <c r="M277">
        <v>160.30000000000001</v>
      </c>
      <c r="N277">
        <v>142.19999999999999</v>
      </c>
      <c r="O277">
        <v>162.9</v>
      </c>
      <c r="P277">
        <v>158</v>
      </c>
      <c r="Q277">
        <v>184.4</v>
      </c>
      <c r="R277">
        <v>153.4</v>
      </c>
      <c r="S277">
        <v>144.30000000000001</v>
      </c>
      <c r="T277">
        <v>152</v>
      </c>
      <c r="U277">
        <v>156.30000000000001</v>
      </c>
      <c r="V277">
        <v>142.9</v>
      </c>
      <c r="W277">
        <v>148.69999999999999</v>
      </c>
      <c r="X277">
        <v>155.6</v>
      </c>
      <c r="Y277">
        <v>139.6</v>
      </c>
      <c r="Z277">
        <v>146.6</v>
      </c>
      <c r="AA277">
        <v>157.5</v>
      </c>
      <c r="AB277">
        <v>158.4</v>
      </c>
      <c r="AC277">
        <v>150</v>
      </c>
      <c r="AD277">
        <v>154.69999999999999</v>
      </c>
    </row>
    <row r="278" spans="1:30" hidden="1" x14ac:dyDescent="0.3">
      <c r="A278" t="s">
        <v>30</v>
      </c>
      <c r="B278">
        <v>2020</v>
      </c>
      <c r="C278" t="s">
        <v>43</v>
      </c>
      <c r="D278">
        <v>146</v>
      </c>
      <c r="E278">
        <v>186.3</v>
      </c>
      <c r="F278">
        <v>159.19999999999999</v>
      </c>
      <c r="G278">
        <v>153.6</v>
      </c>
      <c r="H278">
        <v>142.6</v>
      </c>
      <c r="I278">
        <v>147.19999999999999</v>
      </c>
      <c r="J278">
        <v>200.6</v>
      </c>
      <c r="K278">
        <v>150.30000000000001</v>
      </c>
      <c r="L278">
        <v>115.3</v>
      </c>
      <c r="M278">
        <v>160.9</v>
      </c>
      <c r="N278">
        <v>147.4</v>
      </c>
      <c r="O278">
        <v>161.9</v>
      </c>
      <c r="P278">
        <v>159.6</v>
      </c>
      <c r="Q278">
        <v>182.7</v>
      </c>
      <c r="R278">
        <v>155.69999999999999</v>
      </c>
      <c r="S278">
        <v>150.6</v>
      </c>
      <c r="T278">
        <v>155</v>
      </c>
      <c r="U278" t="s">
        <v>32</v>
      </c>
      <c r="V278">
        <v>146.80000000000001</v>
      </c>
      <c r="W278">
        <v>152</v>
      </c>
      <c r="X278">
        <v>159.5</v>
      </c>
      <c r="Y278">
        <v>146.4</v>
      </c>
      <c r="Z278">
        <v>152.4</v>
      </c>
      <c r="AA278">
        <v>162.5</v>
      </c>
      <c r="AB278">
        <v>156.19999999999999</v>
      </c>
      <c r="AC278">
        <v>154.30000000000001</v>
      </c>
      <c r="AD278">
        <v>157.5</v>
      </c>
    </row>
    <row r="279" spans="1:30" hidden="1" x14ac:dyDescent="0.3">
      <c r="A279" t="s">
        <v>33</v>
      </c>
      <c r="B279">
        <v>2020</v>
      </c>
      <c r="C279" t="s">
        <v>43</v>
      </c>
      <c r="D279">
        <v>150.6</v>
      </c>
      <c r="E279">
        <v>193.7</v>
      </c>
      <c r="F279">
        <v>164.8</v>
      </c>
      <c r="G279">
        <v>153.69999999999999</v>
      </c>
      <c r="H279">
        <v>135.69999999999999</v>
      </c>
      <c r="I279">
        <v>155.69999999999999</v>
      </c>
      <c r="J279">
        <v>226</v>
      </c>
      <c r="K279">
        <v>152.19999999999999</v>
      </c>
      <c r="L279">
        <v>118.1</v>
      </c>
      <c r="M279">
        <v>161.30000000000001</v>
      </c>
      <c r="N279">
        <v>139.19999999999999</v>
      </c>
      <c r="O279">
        <v>164.8</v>
      </c>
      <c r="P279">
        <v>164.4</v>
      </c>
      <c r="Q279">
        <v>188.7</v>
      </c>
      <c r="R279">
        <v>150.5</v>
      </c>
      <c r="S279">
        <v>136.1</v>
      </c>
      <c r="T279">
        <v>148.30000000000001</v>
      </c>
      <c r="U279">
        <v>156.5</v>
      </c>
      <c r="V279">
        <v>137.1</v>
      </c>
      <c r="W279">
        <v>145.1</v>
      </c>
      <c r="X279">
        <v>151</v>
      </c>
      <c r="Y279">
        <v>135.4</v>
      </c>
      <c r="Z279">
        <v>142</v>
      </c>
      <c r="AA279">
        <v>155.69999999999999</v>
      </c>
      <c r="AB279">
        <v>158.1</v>
      </c>
      <c r="AC279">
        <v>146.19999999999999</v>
      </c>
      <c r="AD279">
        <v>155.19999999999999</v>
      </c>
    </row>
    <row r="280" spans="1:30" hidden="1" x14ac:dyDescent="0.3">
      <c r="A280" t="s">
        <v>34</v>
      </c>
      <c r="B280">
        <v>2020</v>
      </c>
      <c r="C280" t="s">
        <v>43</v>
      </c>
      <c r="D280">
        <v>147.5</v>
      </c>
      <c r="E280">
        <v>188.9</v>
      </c>
      <c r="F280">
        <v>161.4</v>
      </c>
      <c r="G280">
        <v>153.6</v>
      </c>
      <c r="H280">
        <v>140.1</v>
      </c>
      <c r="I280">
        <v>151.19999999999999</v>
      </c>
      <c r="J280">
        <v>209.2</v>
      </c>
      <c r="K280">
        <v>150.9</v>
      </c>
      <c r="L280">
        <v>116.2</v>
      </c>
      <c r="M280">
        <v>161</v>
      </c>
      <c r="N280">
        <v>144</v>
      </c>
      <c r="O280">
        <v>163.19999999999999</v>
      </c>
      <c r="P280">
        <v>161.4</v>
      </c>
      <c r="Q280">
        <v>184.3</v>
      </c>
      <c r="R280">
        <v>153.69999999999999</v>
      </c>
      <c r="S280">
        <v>144.6</v>
      </c>
      <c r="T280">
        <v>152.30000000000001</v>
      </c>
      <c r="U280">
        <v>156.5</v>
      </c>
      <c r="V280">
        <v>143.1</v>
      </c>
      <c r="W280">
        <v>148.69999999999999</v>
      </c>
      <c r="X280">
        <v>156.30000000000001</v>
      </c>
      <c r="Y280">
        <v>140.6</v>
      </c>
      <c r="Z280">
        <v>146.5</v>
      </c>
      <c r="AA280">
        <v>158.5</v>
      </c>
      <c r="AB280">
        <v>157</v>
      </c>
      <c r="AC280">
        <v>150.4</v>
      </c>
      <c r="AD280">
        <v>156.4</v>
      </c>
    </row>
    <row r="281" spans="1:30" hidden="1" x14ac:dyDescent="0.3">
      <c r="A281" t="s">
        <v>30</v>
      </c>
      <c r="B281">
        <v>2020</v>
      </c>
      <c r="C281" t="s">
        <v>45</v>
      </c>
      <c r="D281">
        <v>145.4</v>
      </c>
      <c r="E281">
        <v>188.6</v>
      </c>
      <c r="F281">
        <v>171.6</v>
      </c>
      <c r="G281">
        <v>153.80000000000001</v>
      </c>
      <c r="H281">
        <v>145.4</v>
      </c>
      <c r="I281">
        <v>146.5</v>
      </c>
      <c r="J281">
        <v>222.2</v>
      </c>
      <c r="K281">
        <v>155.9</v>
      </c>
      <c r="L281">
        <v>114.9</v>
      </c>
      <c r="M281">
        <v>162</v>
      </c>
      <c r="N281">
        <v>150</v>
      </c>
      <c r="O281">
        <v>162.69999999999999</v>
      </c>
      <c r="P281">
        <v>163.4</v>
      </c>
      <c r="Q281">
        <v>183.4</v>
      </c>
      <c r="R281">
        <v>156.30000000000001</v>
      </c>
      <c r="S281">
        <v>151</v>
      </c>
      <c r="T281">
        <v>155.5</v>
      </c>
      <c r="U281" t="s">
        <v>32</v>
      </c>
      <c r="V281">
        <v>147.5</v>
      </c>
      <c r="W281">
        <v>152.80000000000001</v>
      </c>
      <c r="X281">
        <v>160.4</v>
      </c>
      <c r="Y281">
        <v>146.1</v>
      </c>
      <c r="Z281">
        <v>153.6</v>
      </c>
      <c r="AA281">
        <v>161.6</v>
      </c>
      <c r="AB281">
        <v>156.19999999999999</v>
      </c>
      <c r="AC281">
        <v>154.5</v>
      </c>
      <c r="AD281">
        <v>159.80000000000001</v>
      </c>
    </row>
    <row r="282" spans="1:30" hidden="1" x14ac:dyDescent="0.3">
      <c r="A282" t="s">
        <v>33</v>
      </c>
      <c r="B282">
        <v>2020</v>
      </c>
      <c r="C282" t="s">
        <v>45</v>
      </c>
      <c r="D282">
        <v>149.69999999999999</v>
      </c>
      <c r="E282">
        <v>195.5</v>
      </c>
      <c r="F282">
        <v>176.9</v>
      </c>
      <c r="G282">
        <v>153.9</v>
      </c>
      <c r="H282">
        <v>138</v>
      </c>
      <c r="I282">
        <v>150.5</v>
      </c>
      <c r="J282">
        <v>245.3</v>
      </c>
      <c r="K282">
        <v>158.69999999999999</v>
      </c>
      <c r="L282">
        <v>117.2</v>
      </c>
      <c r="M282">
        <v>161.4</v>
      </c>
      <c r="N282">
        <v>141.5</v>
      </c>
      <c r="O282">
        <v>165.1</v>
      </c>
      <c r="P282">
        <v>167</v>
      </c>
      <c r="Q282">
        <v>188.8</v>
      </c>
      <c r="R282">
        <v>151.1</v>
      </c>
      <c r="S282">
        <v>136.4</v>
      </c>
      <c r="T282">
        <v>148.80000000000001</v>
      </c>
      <c r="U282">
        <v>158</v>
      </c>
      <c r="V282">
        <v>137.30000000000001</v>
      </c>
      <c r="W282">
        <v>145.1</v>
      </c>
      <c r="X282">
        <v>152</v>
      </c>
      <c r="Y282">
        <v>135.19999999999999</v>
      </c>
      <c r="Z282">
        <v>144.4</v>
      </c>
      <c r="AA282">
        <v>156.4</v>
      </c>
      <c r="AB282">
        <v>157.9</v>
      </c>
      <c r="AC282">
        <v>146.6</v>
      </c>
      <c r="AD282">
        <v>156.69999999999999</v>
      </c>
    </row>
    <row r="283" spans="1:30" hidden="1" x14ac:dyDescent="0.3">
      <c r="A283" t="s">
        <v>34</v>
      </c>
      <c r="B283">
        <v>2020</v>
      </c>
      <c r="C283" t="s">
        <v>45</v>
      </c>
      <c r="D283">
        <v>146.80000000000001</v>
      </c>
      <c r="E283">
        <v>191</v>
      </c>
      <c r="F283">
        <v>173.6</v>
      </c>
      <c r="G283">
        <v>153.80000000000001</v>
      </c>
      <c r="H283">
        <v>142.69999999999999</v>
      </c>
      <c r="I283">
        <v>148.4</v>
      </c>
      <c r="J283">
        <v>230</v>
      </c>
      <c r="K283">
        <v>156.80000000000001</v>
      </c>
      <c r="L283">
        <v>115.7</v>
      </c>
      <c r="M283">
        <v>161.80000000000001</v>
      </c>
      <c r="N283">
        <v>146.5</v>
      </c>
      <c r="O283">
        <v>163.80000000000001</v>
      </c>
      <c r="P283">
        <v>164.7</v>
      </c>
      <c r="Q283">
        <v>184.8</v>
      </c>
      <c r="R283">
        <v>154.30000000000001</v>
      </c>
      <c r="S283">
        <v>144.9</v>
      </c>
      <c r="T283">
        <v>152.80000000000001</v>
      </c>
      <c r="U283">
        <v>158</v>
      </c>
      <c r="V283">
        <v>143.6</v>
      </c>
      <c r="W283">
        <v>149.19999999999999</v>
      </c>
      <c r="X283">
        <v>157.19999999999999</v>
      </c>
      <c r="Y283">
        <v>140.4</v>
      </c>
      <c r="Z283">
        <v>148.4</v>
      </c>
      <c r="AA283">
        <v>158.6</v>
      </c>
      <c r="AB283">
        <v>156.9</v>
      </c>
      <c r="AC283">
        <v>150.69999999999999</v>
      </c>
      <c r="AD283">
        <v>158.4</v>
      </c>
    </row>
    <row r="284" spans="1:30" hidden="1" x14ac:dyDescent="0.3">
      <c r="A284" t="s">
        <v>30</v>
      </c>
      <c r="B284">
        <v>2020</v>
      </c>
      <c r="C284" t="s">
        <v>46</v>
      </c>
      <c r="D284">
        <v>144.6</v>
      </c>
      <c r="E284">
        <v>188.5</v>
      </c>
      <c r="F284">
        <v>173.4</v>
      </c>
      <c r="G284">
        <v>154</v>
      </c>
      <c r="H284">
        <v>150</v>
      </c>
      <c r="I284">
        <v>145.9</v>
      </c>
      <c r="J284">
        <v>225.2</v>
      </c>
      <c r="K284">
        <v>159.5</v>
      </c>
      <c r="L284">
        <v>114.4</v>
      </c>
      <c r="M284">
        <v>163.5</v>
      </c>
      <c r="N284">
        <v>153.4</v>
      </c>
      <c r="O284">
        <v>163.6</v>
      </c>
      <c r="P284">
        <v>164.5</v>
      </c>
      <c r="Q284">
        <v>183.6</v>
      </c>
      <c r="R284">
        <v>157</v>
      </c>
      <c r="S284">
        <v>151.6</v>
      </c>
      <c r="T284">
        <v>156.30000000000001</v>
      </c>
      <c r="U284" t="s">
        <v>32</v>
      </c>
      <c r="V284">
        <v>148.69999999999999</v>
      </c>
      <c r="W284">
        <v>153.4</v>
      </c>
      <c r="X284">
        <v>161.6</v>
      </c>
      <c r="Y284">
        <v>146.4</v>
      </c>
      <c r="Z284">
        <v>153.9</v>
      </c>
      <c r="AA284">
        <v>162.9</v>
      </c>
      <c r="AB284">
        <v>156.6</v>
      </c>
      <c r="AC284">
        <v>155.19999999999999</v>
      </c>
      <c r="AD284">
        <v>160.69999999999999</v>
      </c>
    </row>
    <row r="285" spans="1:30" hidden="1" x14ac:dyDescent="0.3">
      <c r="A285" t="s">
        <v>33</v>
      </c>
      <c r="B285">
        <v>2020</v>
      </c>
      <c r="C285" t="s">
        <v>46</v>
      </c>
      <c r="D285">
        <v>149</v>
      </c>
      <c r="E285">
        <v>195.7</v>
      </c>
      <c r="F285">
        <v>178.3</v>
      </c>
      <c r="G285">
        <v>154.19999999999999</v>
      </c>
      <c r="H285">
        <v>140.69999999999999</v>
      </c>
      <c r="I285">
        <v>149.69999999999999</v>
      </c>
      <c r="J285">
        <v>240.9</v>
      </c>
      <c r="K285">
        <v>161.5</v>
      </c>
      <c r="L285">
        <v>117.1</v>
      </c>
      <c r="M285">
        <v>161.9</v>
      </c>
      <c r="N285">
        <v>143.30000000000001</v>
      </c>
      <c r="O285">
        <v>166.1</v>
      </c>
      <c r="P285">
        <v>167</v>
      </c>
      <c r="Q285">
        <v>190.2</v>
      </c>
      <c r="R285">
        <v>151.9</v>
      </c>
      <c r="S285">
        <v>136.69999999999999</v>
      </c>
      <c r="T285">
        <v>149.6</v>
      </c>
      <c r="U285">
        <v>158.4</v>
      </c>
      <c r="V285">
        <v>137.9</v>
      </c>
      <c r="W285">
        <v>145.5</v>
      </c>
      <c r="X285">
        <v>152.9</v>
      </c>
      <c r="Y285">
        <v>135.5</v>
      </c>
      <c r="Z285">
        <v>144.30000000000001</v>
      </c>
      <c r="AA285">
        <v>156.9</v>
      </c>
      <c r="AB285">
        <v>157.9</v>
      </c>
      <c r="AC285">
        <v>146.9</v>
      </c>
      <c r="AD285">
        <v>156.9</v>
      </c>
    </row>
    <row r="286" spans="1:30" hidden="1" x14ac:dyDescent="0.3">
      <c r="A286" t="s">
        <v>34</v>
      </c>
      <c r="B286">
        <v>2020</v>
      </c>
      <c r="C286" t="s">
        <v>46</v>
      </c>
      <c r="D286">
        <v>146</v>
      </c>
      <c r="E286">
        <v>191</v>
      </c>
      <c r="F286">
        <v>175.3</v>
      </c>
      <c r="G286">
        <v>154.1</v>
      </c>
      <c r="H286">
        <v>146.6</v>
      </c>
      <c r="I286">
        <v>147.69999999999999</v>
      </c>
      <c r="J286">
        <v>230.5</v>
      </c>
      <c r="K286">
        <v>160.19999999999999</v>
      </c>
      <c r="L286">
        <v>115.3</v>
      </c>
      <c r="M286">
        <v>163</v>
      </c>
      <c r="N286">
        <v>149.19999999999999</v>
      </c>
      <c r="O286">
        <v>164.8</v>
      </c>
      <c r="P286">
        <v>165.4</v>
      </c>
      <c r="Q286">
        <v>185.4</v>
      </c>
      <c r="R286">
        <v>155</v>
      </c>
      <c r="S286">
        <v>145.4</v>
      </c>
      <c r="T286">
        <v>153.6</v>
      </c>
      <c r="U286">
        <v>158.4</v>
      </c>
      <c r="V286">
        <v>144.6</v>
      </c>
      <c r="W286">
        <v>149.69999999999999</v>
      </c>
      <c r="X286">
        <v>158.30000000000001</v>
      </c>
      <c r="Y286">
        <v>140.69999999999999</v>
      </c>
      <c r="Z286">
        <v>148.5</v>
      </c>
      <c r="AA286">
        <v>159.4</v>
      </c>
      <c r="AB286">
        <v>157.1</v>
      </c>
      <c r="AC286">
        <v>151.19999999999999</v>
      </c>
      <c r="AD286">
        <v>158.9</v>
      </c>
    </row>
    <row r="287" spans="1:30" x14ac:dyDescent="0.3">
      <c r="A287" t="s">
        <v>30</v>
      </c>
      <c r="B287">
        <v>2021</v>
      </c>
      <c r="C287" t="s">
        <v>31</v>
      </c>
      <c r="D287">
        <v>143.4</v>
      </c>
      <c r="E287">
        <v>187.5</v>
      </c>
      <c r="F287">
        <v>173.4</v>
      </c>
      <c r="G287">
        <v>154</v>
      </c>
      <c r="H287">
        <v>154.80000000000001</v>
      </c>
      <c r="I287">
        <v>147</v>
      </c>
      <c r="J287">
        <v>187.8</v>
      </c>
      <c r="K287">
        <v>159.5</v>
      </c>
      <c r="L287">
        <v>113.8</v>
      </c>
      <c r="M287">
        <v>164.5</v>
      </c>
      <c r="N287">
        <v>156.1</v>
      </c>
      <c r="O287">
        <v>164.3</v>
      </c>
      <c r="P287">
        <v>159.6</v>
      </c>
      <c r="Q287">
        <v>184.6</v>
      </c>
      <c r="R287">
        <v>157.5</v>
      </c>
      <c r="S287">
        <v>152.4</v>
      </c>
      <c r="T287">
        <v>156.80000000000001</v>
      </c>
      <c r="U287" t="s">
        <v>32</v>
      </c>
      <c r="V287">
        <v>150.9</v>
      </c>
      <c r="W287">
        <v>153.9</v>
      </c>
      <c r="X287">
        <v>162.5</v>
      </c>
      <c r="Y287">
        <v>147.5</v>
      </c>
      <c r="Z287">
        <v>155.1</v>
      </c>
      <c r="AA287">
        <v>163.5</v>
      </c>
      <c r="AB287">
        <v>156.19999999999999</v>
      </c>
      <c r="AC287">
        <v>155.9</v>
      </c>
      <c r="AD287">
        <v>158.5</v>
      </c>
    </row>
    <row r="288" spans="1:30" x14ac:dyDescent="0.3">
      <c r="A288" t="s">
        <v>33</v>
      </c>
      <c r="B288">
        <v>2021</v>
      </c>
      <c r="C288" t="s">
        <v>31</v>
      </c>
      <c r="D288">
        <v>148</v>
      </c>
      <c r="E288">
        <v>194.8</v>
      </c>
      <c r="F288">
        <v>178.4</v>
      </c>
      <c r="G288">
        <v>154.4</v>
      </c>
      <c r="H288">
        <v>144.1</v>
      </c>
      <c r="I288">
        <v>152.6</v>
      </c>
      <c r="J288">
        <v>206.8</v>
      </c>
      <c r="K288">
        <v>162.1</v>
      </c>
      <c r="L288">
        <v>116.3</v>
      </c>
      <c r="M288">
        <v>163</v>
      </c>
      <c r="N288">
        <v>145.9</v>
      </c>
      <c r="O288">
        <v>167.2</v>
      </c>
      <c r="P288">
        <v>163.4</v>
      </c>
      <c r="Q288">
        <v>191.8</v>
      </c>
      <c r="R288">
        <v>152.5</v>
      </c>
      <c r="S288">
        <v>137.30000000000001</v>
      </c>
      <c r="T288">
        <v>150.19999999999999</v>
      </c>
      <c r="U288">
        <v>157.69999999999999</v>
      </c>
      <c r="V288">
        <v>142.9</v>
      </c>
      <c r="W288">
        <v>145.69999999999999</v>
      </c>
      <c r="X288">
        <v>154.1</v>
      </c>
      <c r="Y288">
        <v>136.9</v>
      </c>
      <c r="Z288">
        <v>145.4</v>
      </c>
      <c r="AA288">
        <v>156.1</v>
      </c>
      <c r="AB288">
        <v>157.69999999999999</v>
      </c>
      <c r="AC288">
        <v>147.6</v>
      </c>
      <c r="AD288">
        <v>156</v>
      </c>
    </row>
    <row r="289" spans="1:30" x14ac:dyDescent="0.3">
      <c r="A289" t="s">
        <v>34</v>
      </c>
      <c r="B289">
        <v>2021</v>
      </c>
      <c r="C289" t="s">
        <v>31</v>
      </c>
      <c r="D289">
        <v>144.9</v>
      </c>
      <c r="E289">
        <v>190.1</v>
      </c>
      <c r="F289">
        <v>175.3</v>
      </c>
      <c r="G289">
        <v>154.1</v>
      </c>
      <c r="H289">
        <v>150.9</v>
      </c>
      <c r="I289">
        <v>149.6</v>
      </c>
      <c r="J289">
        <v>194.2</v>
      </c>
      <c r="K289">
        <v>160.4</v>
      </c>
      <c r="L289">
        <v>114.6</v>
      </c>
      <c r="M289">
        <v>164</v>
      </c>
      <c r="N289">
        <v>151.80000000000001</v>
      </c>
      <c r="O289">
        <v>165.6</v>
      </c>
      <c r="P289">
        <v>161</v>
      </c>
      <c r="Q289">
        <v>186.5</v>
      </c>
      <c r="R289">
        <v>155.5</v>
      </c>
      <c r="S289">
        <v>146.1</v>
      </c>
      <c r="T289">
        <v>154.19999999999999</v>
      </c>
      <c r="U289">
        <v>157.69999999999999</v>
      </c>
      <c r="V289">
        <v>147.9</v>
      </c>
      <c r="W289">
        <v>150</v>
      </c>
      <c r="X289">
        <v>159.30000000000001</v>
      </c>
      <c r="Y289">
        <v>141.9</v>
      </c>
      <c r="Z289">
        <v>149.6</v>
      </c>
      <c r="AA289">
        <v>159.19999999999999</v>
      </c>
      <c r="AB289">
        <v>156.80000000000001</v>
      </c>
      <c r="AC289">
        <v>151.9</v>
      </c>
      <c r="AD289">
        <v>157.30000000000001</v>
      </c>
    </row>
    <row r="290" spans="1:30" x14ac:dyDescent="0.3">
      <c r="A290" t="s">
        <v>30</v>
      </c>
      <c r="B290">
        <v>2021</v>
      </c>
      <c r="C290" t="s">
        <v>35</v>
      </c>
      <c r="D290">
        <v>142.80000000000001</v>
      </c>
      <c r="E290">
        <v>184</v>
      </c>
      <c r="F290">
        <v>168</v>
      </c>
      <c r="G290">
        <v>154.4</v>
      </c>
      <c r="H290">
        <v>163</v>
      </c>
      <c r="I290">
        <v>147.80000000000001</v>
      </c>
      <c r="J290">
        <v>149.69999999999999</v>
      </c>
      <c r="K290">
        <v>158.30000000000001</v>
      </c>
      <c r="L290">
        <v>111.8</v>
      </c>
      <c r="M290">
        <v>165</v>
      </c>
      <c r="N290">
        <v>160</v>
      </c>
      <c r="O290">
        <v>165.8</v>
      </c>
      <c r="P290">
        <v>154.69999999999999</v>
      </c>
      <c r="Q290">
        <v>186.5</v>
      </c>
      <c r="R290">
        <v>159.1</v>
      </c>
      <c r="S290">
        <v>153.9</v>
      </c>
      <c r="T290">
        <v>158.4</v>
      </c>
      <c r="U290" t="s">
        <v>32</v>
      </c>
      <c r="V290">
        <v>154.4</v>
      </c>
      <c r="W290">
        <v>154.80000000000001</v>
      </c>
      <c r="X290">
        <v>164.3</v>
      </c>
      <c r="Y290">
        <v>150.19999999999999</v>
      </c>
      <c r="Z290">
        <v>157</v>
      </c>
      <c r="AA290">
        <v>163.6</v>
      </c>
      <c r="AB290">
        <v>155.19999999999999</v>
      </c>
      <c r="AC290">
        <v>157.19999999999999</v>
      </c>
      <c r="AD290">
        <v>156.69999999999999</v>
      </c>
    </row>
    <row r="291" spans="1:30" x14ac:dyDescent="0.3">
      <c r="A291" t="s">
        <v>33</v>
      </c>
      <c r="B291">
        <v>2021</v>
      </c>
      <c r="C291" t="s">
        <v>35</v>
      </c>
      <c r="D291">
        <v>147.6</v>
      </c>
      <c r="E291">
        <v>191.2</v>
      </c>
      <c r="F291">
        <v>169.9</v>
      </c>
      <c r="G291">
        <v>155.1</v>
      </c>
      <c r="H291">
        <v>151.4</v>
      </c>
      <c r="I291">
        <v>154</v>
      </c>
      <c r="J291">
        <v>180.2</v>
      </c>
      <c r="K291">
        <v>159.80000000000001</v>
      </c>
      <c r="L291">
        <v>114.9</v>
      </c>
      <c r="M291">
        <v>162.5</v>
      </c>
      <c r="N291">
        <v>149.19999999999999</v>
      </c>
      <c r="O291">
        <v>169.4</v>
      </c>
      <c r="P291">
        <v>160.80000000000001</v>
      </c>
      <c r="Q291">
        <v>193.3</v>
      </c>
      <c r="R291">
        <v>154.19999999999999</v>
      </c>
      <c r="S291">
        <v>138.19999999999999</v>
      </c>
      <c r="T291">
        <v>151.80000000000001</v>
      </c>
      <c r="U291">
        <v>159.80000000000001</v>
      </c>
      <c r="V291">
        <v>149.1</v>
      </c>
      <c r="W291">
        <v>146.5</v>
      </c>
      <c r="X291">
        <v>156.30000000000001</v>
      </c>
      <c r="Y291">
        <v>140.5</v>
      </c>
      <c r="Z291">
        <v>147.30000000000001</v>
      </c>
      <c r="AA291">
        <v>156.6</v>
      </c>
      <c r="AB291">
        <v>156.69999999999999</v>
      </c>
      <c r="AC291">
        <v>149.30000000000001</v>
      </c>
      <c r="AD291">
        <v>156.5</v>
      </c>
    </row>
    <row r="292" spans="1:30" x14ac:dyDescent="0.3">
      <c r="A292" t="s">
        <v>34</v>
      </c>
      <c r="B292">
        <v>2021</v>
      </c>
      <c r="C292" t="s">
        <v>35</v>
      </c>
      <c r="D292">
        <v>144.30000000000001</v>
      </c>
      <c r="E292">
        <v>186.5</v>
      </c>
      <c r="F292">
        <v>168.7</v>
      </c>
      <c r="G292">
        <v>154.69999999999999</v>
      </c>
      <c r="H292">
        <v>158.69999999999999</v>
      </c>
      <c r="I292">
        <v>150.69999999999999</v>
      </c>
      <c r="J292">
        <v>160</v>
      </c>
      <c r="K292">
        <v>158.80000000000001</v>
      </c>
      <c r="L292">
        <v>112.8</v>
      </c>
      <c r="M292">
        <v>164.2</v>
      </c>
      <c r="N292">
        <v>155.5</v>
      </c>
      <c r="O292">
        <v>167.5</v>
      </c>
      <c r="P292">
        <v>156.9</v>
      </c>
      <c r="Q292">
        <v>188.3</v>
      </c>
      <c r="R292">
        <v>157.19999999999999</v>
      </c>
      <c r="S292">
        <v>147.4</v>
      </c>
      <c r="T292">
        <v>155.80000000000001</v>
      </c>
      <c r="U292">
        <v>159.80000000000001</v>
      </c>
      <c r="V292">
        <v>152.4</v>
      </c>
      <c r="W292">
        <v>150.9</v>
      </c>
      <c r="X292">
        <v>161.30000000000001</v>
      </c>
      <c r="Y292">
        <v>145.1</v>
      </c>
      <c r="Z292">
        <v>151.5</v>
      </c>
      <c r="AA292">
        <v>159.5</v>
      </c>
      <c r="AB292">
        <v>155.80000000000001</v>
      </c>
      <c r="AC292">
        <v>153.4</v>
      </c>
      <c r="AD292">
        <v>156.6</v>
      </c>
    </row>
    <row r="293" spans="1:30" x14ac:dyDescent="0.3">
      <c r="A293" t="s">
        <v>30</v>
      </c>
      <c r="B293">
        <v>2021</v>
      </c>
      <c r="C293" t="s">
        <v>36</v>
      </c>
      <c r="D293">
        <v>142.5</v>
      </c>
      <c r="E293">
        <v>189.4</v>
      </c>
      <c r="F293">
        <v>163.19999999999999</v>
      </c>
      <c r="G293">
        <v>154.5</v>
      </c>
      <c r="H293">
        <v>168.2</v>
      </c>
      <c r="I293">
        <v>150.5</v>
      </c>
      <c r="J293">
        <v>141</v>
      </c>
      <c r="K293">
        <v>159.19999999999999</v>
      </c>
      <c r="L293">
        <v>111.7</v>
      </c>
      <c r="M293">
        <v>164</v>
      </c>
      <c r="N293">
        <v>160.6</v>
      </c>
      <c r="O293">
        <v>166.4</v>
      </c>
      <c r="P293">
        <v>154.5</v>
      </c>
      <c r="Q293">
        <v>186.1</v>
      </c>
      <c r="R293">
        <v>159.6</v>
      </c>
      <c r="S293">
        <v>154.4</v>
      </c>
      <c r="T293">
        <v>158.9</v>
      </c>
      <c r="U293" t="s">
        <v>48</v>
      </c>
      <c r="V293">
        <v>156</v>
      </c>
      <c r="W293">
        <v>154.80000000000001</v>
      </c>
      <c r="X293">
        <v>164.6</v>
      </c>
      <c r="Y293">
        <v>151.30000000000001</v>
      </c>
      <c r="Z293">
        <v>157.80000000000001</v>
      </c>
      <c r="AA293">
        <v>163.80000000000001</v>
      </c>
      <c r="AB293">
        <v>153.1</v>
      </c>
      <c r="AC293">
        <v>157.30000000000001</v>
      </c>
      <c r="AD293">
        <v>156.69999999999999</v>
      </c>
    </row>
    <row r="294" spans="1:30" x14ac:dyDescent="0.3">
      <c r="A294" t="s">
        <v>33</v>
      </c>
      <c r="B294">
        <v>2021</v>
      </c>
      <c r="C294" t="s">
        <v>36</v>
      </c>
      <c r="D294">
        <v>147.5</v>
      </c>
      <c r="E294">
        <v>197.5</v>
      </c>
      <c r="F294">
        <v>164.7</v>
      </c>
      <c r="G294">
        <v>155.6</v>
      </c>
      <c r="H294">
        <v>156.4</v>
      </c>
      <c r="I294">
        <v>157.30000000000001</v>
      </c>
      <c r="J294">
        <v>166.1</v>
      </c>
      <c r="K294">
        <v>161.1</v>
      </c>
      <c r="L294">
        <v>114.3</v>
      </c>
      <c r="M294">
        <v>162.6</v>
      </c>
      <c r="N294">
        <v>150.69999999999999</v>
      </c>
      <c r="O294">
        <v>170.3</v>
      </c>
      <c r="P294">
        <v>160.4</v>
      </c>
      <c r="Q294">
        <v>193.5</v>
      </c>
      <c r="R294">
        <v>155.1</v>
      </c>
      <c r="S294">
        <v>138.69999999999999</v>
      </c>
      <c r="T294">
        <v>152.6</v>
      </c>
      <c r="U294">
        <v>159.9</v>
      </c>
      <c r="V294">
        <v>154.80000000000001</v>
      </c>
      <c r="W294">
        <v>147.19999999999999</v>
      </c>
      <c r="X294">
        <v>156.9</v>
      </c>
      <c r="Y294">
        <v>141.69999999999999</v>
      </c>
      <c r="Z294">
        <v>148.6</v>
      </c>
      <c r="AA294">
        <v>157.6</v>
      </c>
      <c r="AB294">
        <v>154.9</v>
      </c>
      <c r="AC294">
        <v>150</v>
      </c>
      <c r="AD294">
        <v>156.9</v>
      </c>
    </row>
    <row r="295" spans="1:30" x14ac:dyDescent="0.3">
      <c r="A295" t="s">
        <v>34</v>
      </c>
      <c r="B295">
        <v>2021</v>
      </c>
      <c r="C295" t="s">
        <v>36</v>
      </c>
      <c r="D295">
        <v>144.1</v>
      </c>
      <c r="E295">
        <v>192.2</v>
      </c>
      <c r="F295">
        <v>163.80000000000001</v>
      </c>
      <c r="G295">
        <v>154.9</v>
      </c>
      <c r="H295">
        <v>163.9</v>
      </c>
      <c r="I295">
        <v>153.69999999999999</v>
      </c>
      <c r="J295">
        <v>149.5</v>
      </c>
      <c r="K295">
        <v>159.80000000000001</v>
      </c>
      <c r="L295">
        <v>112.6</v>
      </c>
      <c r="M295">
        <v>163.5</v>
      </c>
      <c r="N295">
        <v>156.5</v>
      </c>
      <c r="O295">
        <v>168.2</v>
      </c>
      <c r="P295">
        <v>156.69999999999999</v>
      </c>
      <c r="Q295">
        <v>188.1</v>
      </c>
      <c r="R295">
        <v>157.80000000000001</v>
      </c>
      <c r="S295">
        <v>147.9</v>
      </c>
      <c r="T295">
        <v>156.4</v>
      </c>
      <c r="U295">
        <v>159.9</v>
      </c>
      <c r="V295">
        <v>155.5</v>
      </c>
      <c r="W295">
        <v>151.19999999999999</v>
      </c>
      <c r="X295">
        <v>161.69999999999999</v>
      </c>
      <c r="Y295">
        <v>146.19999999999999</v>
      </c>
      <c r="Z295">
        <v>152.6</v>
      </c>
      <c r="AA295">
        <v>160.19999999999999</v>
      </c>
      <c r="AB295">
        <v>153.80000000000001</v>
      </c>
      <c r="AC295">
        <v>153.80000000000001</v>
      </c>
      <c r="AD295">
        <v>156.80000000000001</v>
      </c>
    </row>
    <row r="296" spans="1:30" x14ac:dyDescent="0.3">
      <c r="A296" t="s">
        <v>30</v>
      </c>
      <c r="B296">
        <v>2021</v>
      </c>
      <c r="C296" t="s">
        <v>37</v>
      </c>
      <c r="D296">
        <v>142.69999999999999</v>
      </c>
      <c r="E296">
        <v>195.5</v>
      </c>
      <c r="F296">
        <v>163.4</v>
      </c>
      <c r="G296">
        <v>155</v>
      </c>
      <c r="H296">
        <v>175.2</v>
      </c>
      <c r="I296">
        <v>160.6</v>
      </c>
      <c r="J296">
        <v>135.1</v>
      </c>
      <c r="K296">
        <v>161.1</v>
      </c>
      <c r="L296">
        <v>112.2</v>
      </c>
      <c r="M296">
        <v>164.4</v>
      </c>
      <c r="N296">
        <v>161.9</v>
      </c>
      <c r="O296">
        <v>166.8</v>
      </c>
      <c r="P296">
        <v>155.6</v>
      </c>
      <c r="Q296">
        <v>186.8</v>
      </c>
      <c r="R296">
        <v>160.69999999999999</v>
      </c>
      <c r="S296">
        <v>155.1</v>
      </c>
      <c r="T296">
        <v>159.9</v>
      </c>
      <c r="U296" t="s">
        <v>48</v>
      </c>
      <c r="V296">
        <v>156</v>
      </c>
      <c r="W296">
        <v>155.5</v>
      </c>
      <c r="X296">
        <v>165.3</v>
      </c>
      <c r="Y296">
        <v>151.69999999999999</v>
      </c>
      <c r="Z296">
        <v>158.6</v>
      </c>
      <c r="AA296">
        <v>164.1</v>
      </c>
      <c r="AB296">
        <v>154.6</v>
      </c>
      <c r="AC296">
        <v>158</v>
      </c>
      <c r="AD296">
        <v>157.6</v>
      </c>
    </row>
    <row r="297" spans="1:30" x14ac:dyDescent="0.3">
      <c r="A297" t="s">
        <v>33</v>
      </c>
      <c r="B297">
        <v>2021</v>
      </c>
      <c r="C297" t="s">
        <v>37</v>
      </c>
      <c r="D297">
        <v>147.6</v>
      </c>
      <c r="E297">
        <v>202.5</v>
      </c>
      <c r="F297">
        <v>166.4</v>
      </c>
      <c r="G297">
        <v>156</v>
      </c>
      <c r="H297">
        <v>161.4</v>
      </c>
      <c r="I297">
        <v>168.8</v>
      </c>
      <c r="J297">
        <v>161.6</v>
      </c>
      <c r="K297">
        <v>162.80000000000001</v>
      </c>
      <c r="L297">
        <v>114.8</v>
      </c>
      <c r="M297">
        <v>162.80000000000001</v>
      </c>
      <c r="N297">
        <v>151.5</v>
      </c>
      <c r="O297">
        <v>171.4</v>
      </c>
      <c r="P297">
        <v>162</v>
      </c>
      <c r="Q297">
        <v>194.4</v>
      </c>
      <c r="R297">
        <v>155.9</v>
      </c>
      <c r="S297">
        <v>139.30000000000001</v>
      </c>
      <c r="T297">
        <v>153.4</v>
      </c>
      <c r="U297">
        <v>161.4</v>
      </c>
      <c r="V297">
        <v>154.9</v>
      </c>
      <c r="W297">
        <v>147.6</v>
      </c>
      <c r="X297">
        <v>157.5</v>
      </c>
      <c r="Y297">
        <v>142.1</v>
      </c>
      <c r="Z297">
        <v>149.1</v>
      </c>
      <c r="AA297">
        <v>157.6</v>
      </c>
      <c r="AB297">
        <v>156.6</v>
      </c>
      <c r="AC297">
        <v>150.5</v>
      </c>
      <c r="AD297">
        <v>158</v>
      </c>
    </row>
    <row r="298" spans="1:30" x14ac:dyDescent="0.3">
      <c r="A298" t="s">
        <v>34</v>
      </c>
      <c r="B298">
        <v>2021</v>
      </c>
      <c r="C298" t="s">
        <v>37</v>
      </c>
      <c r="D298">
        <v>144.30000000000001</v>
      </c>
      <c r="E298">
        <v>198</v>
      </c>
      <c r="F298">
        <v>164.6</v>
      </c>
      <c r="G298">
        <v>155.4</v>
      </c>
      <c r="H298">
        <v>170.1</v>
      </c>
      <c r="I298">
        <v>164.4</v>
      </c>
      <c r="J298">
        <v>144.1</v>
      </c>
      <c r="K298">
        <v>161.69999999999999</v>
      </c>
      <c r="L298">
        <v>113.1</v>
      </c>
      <c r="M298">
        <v>163.9</v>
      </c>
      <c r="N298">
        <v>157.6</v>
      </c>
      <c r="O298">
        <v>168.9</v>
      </c>
      <c r="P298">
        <v>158</v>
      </c>
      <c r="Q298">
        <v>188.8</v>
      </c>
      <c r="R298">
        <v>158.80000000000001</v>
      </c>
      <c r="S298">
        <v>148.5</v>
      </c>
      <c r="T298">
        <v>157.30000000000001</v>
      </c>
      <c r="U298">
        <v>161.4</v>
      </c>
      <c r="V298">
        <v>155.6</v>
      </c>
      <c r="W298">
        <v>151.80000000000001</v>
      </c>
      <c r="X298">
        <v>162.30000000000001</v>
      </c>
      <c r="Y298">
        <v>146.6</v>
      </c>
      <c r="Z298">
        <v>153.19999999999999</v>
      </c>
      <c r="AA298">
        <v>160.30000000000001</v>
      </c>
      <c r="AB298">
        <v>155.4</v>
      </c>
      <c r="AC298">
        <v>154.4</v>
      </c>
      <c r="AD298">
        <v>157.80000000000001</v>
      </c>
    </row>
    <row r="299" spans="1:30" x14ac:dyDescent="0.3">
      <c r="A299" t="s">
        <v>30</v>
      </c>
      <c r="B299">
        <v>2021</v>
      </c>
      <c r="C299" t="s">
        <v>38</v>
      </c>
      <c r="D299">
        <v>145.1</v>
      </c>
      <c r="E299">
        <v>198.5</v>
      </c>
      <c r="F299">
        <v>168.6</v>
      </c>
      <c r="G299">
        <v>155.80000000000001</v>
      </c>
      <c r="H299">
        <v>184.4</v>
      </c>
      <c r="I299">
        <v>162.30000000000001</v>
      </c>
      <c r="J299">
        <v>138.4</v>
      </c>
      <c r="K299">
        <v>165.1</v>
      </c>
      <c r="L299">
        <v>114.3</v>
      </c>
      <c r="M299">
        <v>169.7</v>
      </c>
      <c r="N299">
        <v>164.6</v>
      </c>
      <c r="O299">
        <v>169.8</v>
      </c>
      <c r="P299">
        <v>158.69999999999999</v>
      </c>
      <c r="Q299">
        <v>189.6</v>
      </c>
      <c r="R299">
        <v>165.3</v>
      </c>
      <c r="S299">
        <v>160.6</v>
      </c>
      <c r="T299">
        <v>164.5</v>
      </c>
      <c r="U299" t="s">
        <v>32</v>
      </c>
      <c r="V299">
        <v>161.69999999999999</v>
      </c>
      <c r="W299">
        <v>158.80000000000001</v>
      </c>
      <c r="X299">
        <v>169.1</v>
      </c>
      <c r="Y299">
        <v>153.19999999999999</v>
      </c>
      <c r="Z299">
        <v>160</v>
      </c>
      <c r="AA299">
        <v>167.6</v>
      </c>
      <c r="AB299">
        <v>159.30000000000001</v>
      </c>
      <c r="AC299">
        <v>161.1</v>
      </c>
      <c r="AD299">
        <v>161.1</v>
      </c>
    </row>
    <row r="300" spans="1:30" x14ac:dyDescent="0.3">
      <c r="A300" t="s">
        <v>33</v>
      </c>
      <c r="B300">
        <v>2021</v>
      </c>
      <c r="C300" t="s">
        <v>38</v>
      </c>
      <c r="D300">
        <v>148.80000000000001</v>
      </c>
      <c r="E300">
        <v>204.3</v>
      </c>
      <c r="F300">
        <v>173</v>
      </c>
      <c r="G300">
        <v>156.5</v>
      </c>
      <c r="H300">
        <v>168.8</v>
      </c>
      <c r="I300">
        <v>172.5</v>
      </c>
      <c r="J300">
        <v>166.5</v>
      </c>
      <c r="K300">
        <v>165.9</v>
      </c>
      <c r="L300">
        <v>115.9</v>
      </c>
      <c r="M300">
        <v>165.2</v>
      </c>
      <c r="N300">
        <v>152</v>
      </c>
      <c r="O300">
        <v>171.1</v>
      </c>
      <c r="P300">
        <v>164.2</v>
      </c>
      <c r="Q300">
        <v>198.2</v>
      </c>
      <c r="R300">
        <v>156.5</v>
      </c>
      <c r="S300">
        <v>140.19999999999999</v>
      </c>
      <c r="T300">
        <v>154.1</v>
      </c>
      <c r="U300">
        <v>161.6</v>
      </c>
      <c r="V300">
        <v>155.5</v>
      </c>
      <c r="W300">
        <v>150.1</v>
      </c>
      <c r="X300">
        <v>160.4</v>
      </c>
      <c r="Y300">
        <v>145</v>
      </c>
      <c r="Z300">
        <v>152.6</v>
      </c>
      <c r="AA300">
        <v>156.6</v>
      </c>
      <c r="AB300">
        <v>157.5</v>
      </c>
      <c r="AC300">
        <v>152.30000000000001</v>
      </c>
      <c r="AD300">
        <v>159.5</v>
      </c>
    </row>
    <row r="301" spans="1:30" x14ac:dyDescent="0.3">
      <c r="A301" t="s">
        <v>34</v>
      </c>
      <c r="B301">
        <v>2021</v>
      </c>
      <c r="C301" t="s">
        <v>38</v>
      </c>
      <c r="D301">
        <v>146.30000000000001</v>
      </c>
      <c r="E301">
        <v>200.5</v>
      </c>
      <c r="F301">
        <v>170.3</v>
      </c>
      <c r="G301">
        <v>156.1</v>
      </c>
      <c r="H301">
        <v>178.7</v>
      </c>
      <c r="I301">
        <v>167.1</v>
      </c>
      <c r="J301">
        <v>147.9</v>
      </c>
      <c r="K301">
        <v>165.4</v>
      </c>
      <c r="L301">
        <v>114.8</v>
      </c>
      <c r="M301">
        <v>168.2</v>
      </c>
      <c r="N301">
        <v>159.30000000000001</v>
      </c>
      <c r="O301">
        <v>170.4</v>
      </c>
      <c r="P301">
        <v>160.69999999999999</v>
      </c>
      <c r="Q301">
        <v>191.9</v>
      </c>
      <c r="R301">
        <v>161.80000000000001</v>
      </c>
      <c r="S301">
        <v>152.1</v>
      </c>
      <c r="T301">
        <v>160.4</v>
      </c>
      <c r="U301">
        <v>161.6</v>
      </c>
      <c r="V301">
        <v>159.4</v>
      </c>
      <c r="W301">
        <v>154.69999999999999</v>
      </c>
      <c r="X301">
        <v>165.8</v>
      </c>
      <c r="Y301">
        <v>148.9</v>
      </c>
      <c r="Z301">
        <v>155.80000000000001</v>
      </c>
      <c r="AA301">
        <v>161.19999999999999</v>
      </c>
      <c r="AB301">
        <v>158.6</v>
      </c>
      <c r="AC301">
        <v>156.80000000000001</v>
      </c>
      <c r="AD301">
        <v>160.4</v>
      </c>
    </row>
    <row r="302" spans="1:30" x14ac:dyDescent="0.3">
      <c r="A302" t="s">
        <v>30</v>
      </c>
      <c r="B302">
        <v>2021</v>
      </c>
      <c r="C302" t="s">
        <v>39</v>
      </c>
      <c r="D302">
        <v>145.6</v>
      </c>
      <c r="E302">
        <v>200.1</v>
      </c>
      <c r="F302">
        <v>179.3</v>
      </c>
      <c r="G302">
        <v>156.1</v>
      </c>
      <c r="H302">
        <v>190.4</v>
      </c>
      <c r="I302">
        <v>158.6</v>
      </c>
      <c r="J302">
        <v>144.69999999999999</v>
      </c>
      <c r="K302">
        <v>165.5</v>
      </c>
      <c r="L302">
        <v>114.6</v>
      </c>
      <c r="M302">
        <v>170</v>
      </c>
      <c r="N302">
        <v>165.5</v>
      </c>
      <c r="O302">
        <v>171.7</v>
      </c>
      <c r="P302">
        <v>160.5</v>
      </c>
      <c r="Q302">
        <v>189.1</v>
      </c>
      <c r="R302">
        <v>165.3</v>
      </c>
      <c r="S302">
        <v>159.9</v>
      </c>
      <c r="T302">
        <v>164.6</v>
      </c>
      <c r="U302" t="s">
        <v>32</v>
      </c>
      <c r="V302">
        <v>162.1</v>
      </c>
      <c r="W302">
        <v>159.19999999999999</v>
      </c>
      <c r="X302">
        <v>169.7</v>
      </c>
      <c r="Y302">
        <v>154.19999999999999</v>
      </c>
      <c r="Z302">
        <v>160.4</v>
      </c>
      <c r="AA302">
        <v>166.8</v>
      </c>
      <c r="AB302">
        <v>159.4</v>
      </c>
      <c r="AC302">
        <v>161.5</v>
      </c>
      <c r="AD302">
        <v>162.1</v>
      </c>
    </row>
    <row r="303" spans="1:30" x14ac:dyDescent="0.3">
      <c r="A303" t="s">
        <v>33</v>
      </c>
      <c r="B303">
        <v>2021</v>
      </c>
      <c r="C303" t="s">
        <v>39</v>
      </c>
      <c r="D303">
        <v>149.19999999999999</v>
      </c>
      <c r="E303">
        <v>205.5</v>
      </c>
      <c r="F303">
        <v>182.8</v>
      </c>
      <c r="G303">
        <v>156.5</v>
      </c>
      <c r="H303">
        <v>172.2</v>
      </c>
      <c r="I303">
        <v>171.5</v>
      </c>
      <c r="J303">
        <v>176.2</v>
      </c>
      <c r="K303">
        <v>166.9</v>
      </c>
      <c r="L303">
        <v>116.1</v>
      </c>
      <c r="M303">
        <v>165.5</v>
      </c>
      <c r="N303">
        <v>152.30000000000001</v>
      </c>
      <c r="O303">
        <v>173.3</v>
      </c>
      <c r="P303">
        <v>166.2</v>
      </c>
      <c r="Q303">
        <v>195.6</v>
      </c>
      <c r="R303">
        <v>157.30000000000001</v>
      </c>
      <c r="S303">
        <v>140.5</v>
      </c>
      <c r="T303">
        <v>154.80000000000001</v>
      </c>
      <c r="U303">
        <v>160.5</v>
      </c>
      <c r="V303">
        <v>156.1</v>
      </c>
      <c r="W303">
        <v>149.80000000000001</v>
      </c>
      <c r="X303">
        <v>160.80000000000001</v>
      </c>
      <c r="Y303">
        <v>147.5</v>
      </c>
      <c r="Z303">
        <v>150.69999999999999</v>
      </c>
      <c r="AA303">
        <v>158.1</v>
      </c>
      <c r="AB303">
        <v>158</v>
      </c>
      <c r="AC303">
        <v>153.4</v>
      </c>
      <c r="AD303">
        <v>160.4</v>
      </c>
    </row>
    <row r="304" spans="1:30" x14ac:dyDescent="0.3">
      <c r="A304" t="s">
        <v>34</v>
      </c>
      <c r="B304">
        <v>2021</v>
      </c>
      <c r="C304" t="s">
        <v>39</v>
      </c>
      <c r="D304">
        <v>146.69999999999999</v>
      </c>
      <c r="E304">
        <v>202</v>
      </c>
      <c r="F304">
        <v>180.7</v>
      </c>
      <c r="G304">
        <v>156.19999999999999</v>
      </c>
      <c r="H304">
        <v>183.7</v>
      </c>
      <c r="I304">
        <v>164.6</v>
      </c>
      <c r="J304">
        <v>155.4</v>
      </c>
      <c r="K304">
        <v>166</v>
      </c>
      <c r="L304">
        <v>115.1</v>
      </c>
      <c r="M304">
        <v>168.5</v>
      </c>
      <c r="N304">
        <v>160</v>
      </c>
      <c r="O304">
        <v>172.4</v>
      </c>
      <c r="P304">
        <v>162.6</v>
      </c>
      <c r="Q304">
        <v>190.8</v>
      </c>
      <c r="R304">
        <v>162.19999999999999</v>
      </c>
      <c r="S304">
        <v>151.80000000000001</v>
      </c>
      <c r="T304">
        <v>160.69999999999999</v>
      </c>
      <c r="U304">
        <v>160.5</v>
      </c>
      <c r="V304">
        <v>159.80000000000001</v>
      </c>
      <c r="W304">
        <v>154.80000000000001</v>
      </c>
      <c r="X304">
        <v>166.3</v>
      </c>
      <c r="Y304">
        <v>150.69999999999999</v>
      </c>
      <c r="Z304">
        <v>154.9</v>
      </c>
      <c r="AA304">
        <v>161.69999999999999</v>
      </c>
      <c r="AB304">
        <v>158.80000000000001</v>
      </c>
      <c r="AC304">
        <v>157.6</v>
      </c>
      <c r="AD304">
        <v>161.30000000000001</v>
      </c>
    </row>
    <row r="305" spans="1:30" x14ac:dyDescent="0.3">
      <c r="A305" t="s">
        <v>30</v>
      </c>
      <c r="B305">
        <v>2021</v>
      </c>
      <c r="C305" t="s">
        <v>40</v>
      </c>
      <c r="D305">
        <v>145.1</v>
      </c>
      <c r="E305">
        <v>204.5</v>
      </c>
      <c r="F305">
        <v>180.4</v>
      </c>
      <c r="G305">
        <v>157.1</v>
      </c>
      <c r="H305">
        <v>188.7</v>
      </c>
      <c r="I305">
        <v>157.69999999999999</v>
      </c>
      <c r="J305">
        <v>152.80000000000001</v>
      </c>
      <c r="K305">
        <v>163.6</v>
      </c>
      <c r="L305">
        <v>113.9</v>
      </c>
      <c r="M305">
        <v>169.7</v>
      </c>
      <c r="N305">
        <v>166.2</v>
      </c>
      <c r="O305">
        <v>171</v>
      </c>
      <c r="P305">
        <v>161.69999999999999</v>
      </c>
      <c r="Q305">
        <v>189.7</v>
      </c>
      <c r="R305">
        <v>166</v>
      </c>
      <c r="S305">
        <v>161.1</v>
      </c>
      <c r="T305">
        <v>165.3</v>
      </c>
      <c r="U305" t="s">
        <v>32</v>
      </c>
      <c r="V305">
        <v>162.5</v>
      </c>
      <c r="W305">
        <v>160.30000000000001</v>
      </c>
      <c r="X305">
        <v>170.4</v>
      </c>
      <c r="Y305">
        <v>157.1</v>
      </c>
      <c r="Z305">
        <v>160.69999999999999</v>
      </c>
      <c r="AA305">
        <v>167.2</v>
      </c>
      <c r="AB305">
        <v>160.4</v>
      </c>
      <c r="AC305">
        <v>162.80000000000001</v>
      </c>
      <c r="AD305">
        <v>163.19999999999999</v>
      </c>
    </row>
    <row r="306" spans="1:30" x14ac:dyDescent="0.3">
      <c r="A306" t="s">
        <v>33</v>
      </c>
      <c r="B306">
        <v>2021</v>
      </c>
      <c r="C306" t="s">
        <v>40</v>
      </c>
      <c r="D306">
        <v>149.1</v>
      </c>
      <c r="E306">
        <v>210.9</v>
      </c>
      <c r="F306">
        <v>185</v>
      </c>
      <c r="G306">
        <v>158.19999999999999</v>
      </c>
      <c r="H306">
        <v>170.6</v>
      </c>
      <c r="I306">
        <v>170.9</v>
      </c>
      <c r="J306">
        <v>186.4</v>
      </c>
      <c r="K306">
        <v>164.7</v>
      </c>
      <c r="L306">
        <v>115.7</v>
      </c>
      <c r="M306">
        <v>165.5</v>
      </c>
      <c r="N306">
        <v>153.4</v>
      </c>
      <c r="O306">
        <v>173.5</v>
      </c>
      <c r="P306">
        <v>167.9</v>
      </c>
      <c r="Q306">
        <v>195.5</v>
      </c>
      <c r="R306">
        <v>157.9</v>
      </c>
      <c r="S306">
        <v>141.9</v>
      </c>
      <c r="T306">
        <v>155.5</v>
      </c>
      <c r="U306">
        <v>161.5</v>
      </c>
      <c r="V306">
        <v>157.69999999999999</v>
      </c>
      <c r="W306">
        <v>150.69999999999999</v>
      </c>
      <c r="X306">
        <v>161.5</v>
      </c>
      <c r="Y306">
        <v>149.5</v>
      </c>
      <c r="Z306">
        <v>151.19999999999999</v>
      </c>
      <c r="AA306">
        <v>160.30000000000001</v>
      </c>
      <c r="AB306">
        <v>159.6</v>
      </c>
      <c r="AC306">
        <v>155</v>
      </c>
      <c r="AD306">
        <v>161.80000000000001</v>
      </c>
    </row>
    <row r="307" spans="1:30" x14ac:dyDescent="0.3">
      <c r="A307" t="s">
        <v>34</v>
      </c>
      <c r="B307">
        <v>2021</v>
      </c>
      <c r="C307" t="s">
        <v>40</v>
      </c>
      <c r="D307">
        <v>146.4</v>
      </c>
      <c r="E307">
        <v>206.8</v>
      </c>
      <c r="F307">
        <v>182.2</v>
      </c>
      <c r="G307">
        <v>157.5</v>
      </c>
      <c r="H307">
        <v>182.1</v>
      </c>
      <c r="I307">
        <v>163.9</v>
      </c>
      <c r="J307">
        <v>164.2</v>
      </c>
      <c r="K307">
        <v>164</v>
      </c>
      <c r="L307">
        <v>114.5</v>
      </c>
      <c r="M307">
        <v>168.3</v>
      </c>
      <c r="N307">
        <v>160.9</v>
      </c>
      <c r="O307">
        <v>172.2</v>
      </c>
      <c r="P307">
        <v>164</v>
      </c>
      <c r="Q307">
        <v>191.2</v>
      </c>
      <c r="R307">
        <v>162.80000000000001</v>
      </c>
      <c r="S307">
        <v>153.1</v>
      </c>
      <c r="T307">
        <v>161.4</v>
      </c>
      <c r="U307">
        <v>161.5</v>
      </c>
      <c r="V307">
        <v>160.69999999999999</v>
      </c>
      <c r="W307">
        <v>155.80000000000001</v>
      </c>
      <c r="X307">
        <v>167</v>
      </c>
      <c r="Y307">
        <v>153.1</v>
      </c>
      <c r="Z307">
        <v>155.30000000000001</v>
      </c>
      <c r="AA307">
        <v>163.19999999999999</v>
      </c>
      <c r="AB307">
        <v>160.1</v>
      </c>
      <c r="AC307">
        <v>159</v>
      </c>
      <c r="AD307">
        <v>162.5</v>
      </c>
    </row>
    <row r="308" spans="1:30" x14ac:dyDescent="0.3">
      <c r="A308" t="s">
        <v>30</v>
      </c>
      <c r="B308">
        <v>2021</v>
      </c>
      <c r="C308" t="s">
        <v>41</v>
      </c>
      <c r="D308">
        <v>144.9</v>
      </c>
      <c r="E308">
        <v>202.3</v>
      </c>
      <c r="F308">
        <v>176.5</v>
      </c>
      <c r="G308">
        <v>157.5</v>
      </c>
      <c r="H308">
        <v>190.9</v>
      </c>
      <c r="I308">
        <v>155.69999999999999</v>
      </c>
      <c r="J308">
        <v>153.9</v>
      </c>
      <c r="K308">
        <v>162.80000000000001</v>
      </c>
      <c r="L308">
        <v>115.2</v>
      </c>
      <c r="M308">
        <v>169.8</v>
      </c>
      <c r="N308">
        <v>167.6</v>
      </c>
      <c r="O308">
        <v>171.9</v>
      </c>
      <c r="P308">
        <v>161.80000000000001</v>
      </c>
      <c r="Q308">
        <v>190.2</v>
      </c>
      <c r="R308">
        <v>167</v>
      </c>
      <c r="S308">
        <v>162.6</v>
      </c>
      <c r="T308">
        <v>166.3</v>
      </c>
      <c r="U308" t="s">
        <v>32</v>
      </c>
      <c r="V308">
        <v>163.1</v>
      </c>
      <c r="W308">
        <v>160.9</v>
      </c>
      <c r="X308">
        <v>171.1</v>
      </c>
      <c r="Y308">
        <v>157.69999999999999</v>
      </c>
      <c r="Z308">
        <v>161.1</v>
      </c>
      <c r="AA308">
        <v>167.5</v>
      </c>
      <c r="AB308">
        <v>160.30000000000001</v>
      </c>
      <c r="AC308">
        <v>163.30000000000001</v>
      </c>
      <c r="AD308">
        <v>163.6</v>
      </c>
    </row>
    <row r="309" spans="1:30" x14ac:dyDescent="0.3">
      <c r="A309" t="s">
        <v>33</v>
      </c>
      <c r="B309">
        <v>2021</v>
      </c>
      <c r="C309" t="s">
        <v>41</v>
      </c>
      <c r="D309">
        <v>149.30000000000001</v>
      </c>
      <c r="E309">
        <v>207.4</v>
      </c>
      <c r="F309">
        <v>174.1</v>
      </c>
      <c r="G309">
        <v>159.19999999999999</v>
      </c>
      <c r="H309">
        <v>175</v>
      </c>
      <c r="I309">
        <v>161.30000000000001</v>
      </c>
      <c r="J309">
        <v>183.3</v>
      </c>
      <c r="K309">
        <v>164.5</v>
      </c>
      <c r="L309">
        <v>120.4</v>
      </c>
      <c r="M309">
        <v>166.2</v>
      </c>
      <c r="N309">
        <v>154.80000000000001</v>
      </c>
      <c r="O309">
        <v>175.1</v>
      </c>
      <c r="P309">
        <v>167.3</v>
      </c>
      <c r="Q309">
        <v>196.5</v>
      </c>
      <c r="R309">
        <v>159.80000000000001</v>
      </c>
      <c r="S309">
        <v>143.6</v>
      </c>
      <c r="T309">
        <v>157.30000000000001</v>
      </c>
      <c r="U309">
        <v>162.1</v>
      </c>
      <c r="V309">
        <v>160.69999999999999</v>
      </c>
      <c r="W309">
        <v>153.19999999999999</v>
      </c>
      <c r="X309">
        <v>162.80000000000001</v>
      </c>
      <c r="Y309">
        <v>150.4</v>
      </c>
      <c r="Z309">
        <v>153.69999999999999</v>
      </c>
      <c r="AA309">
        <v>160.4</v>
      </c>
      <c r="AB309">
        <v>159.6</v>
      </c>
      <c r="AC309">
        <v>156</v>
      </c>
      <c r="AD309">
        <v>162.30000000000001</v>
      </c>
    </row>
    <row r="310" spans="1:30" x14ac:dyDescent="0.3">
      <c r="A310" t="s">
        <v>34</v>
      </c>
      <c r="B310">
        <v>2021</v>
      </c>
      <c r="C310" t="s">
        <v>41</v>
      </c>
      <c r="D310">
        <v>146.6</v>
      </c>
      <c r="E310">
        <v>204</v>
      </c>
      <c r="F310">
        <v>172.8</v>
      </c>
      <c r="G310">
        <v>158.4</v>
      </c>
      <c r="H310">
        <v>188</v>
      </c>
      <c r="I310">
        <v>156.80000000000001</v>
      </c>
      <c r="J310">
        <v>162.19999999999999</v>
      </c>
      <c r="K310">
        <v>164.1</v>
      </c>
      <c r="L310">
        <v>119.7</v>
      </c>
      <c r="M310">
        <v>168.8</v>
      </c>
      <c r="N310">
        <v>162.69999999999999</v>
      </c>
      <c r="O310">
        <v>173.9</v>
      </c>
      <c r="P310">
        <v>164</v>
      </c>
      <c r="Q310">
        <v>192.1</v>
      </c>
      <c r="R310">
        <v>164.5</v>
      </c>
      <c r="S310">
        <v>155.30000000000001</v>
      </c>
      <c r="T310">
        <v>163.19999999999999</v>
      </c>
      <c r="U310">
        <v>162.1</v>
      </c>
      <c r="V310">
        <v>162.6</v>
      </c>
      <c r="W310">
        <v>157.5</v>
      </c>
      <c r="X310">
        <v>168.4</v>
      </c>
      <c r="Y310">
        <v>154</v>
      </c>
      <c r="Z310">
        <v>157.6</v>
      </c>
      <c r="AA310">
        <v>163.80000000000001</v>
      </c>
      <c r="AB310">
        <v>160</v>
      </c>
      <c r="AC310">
        <v>160</v>
      </c>
      <c r="AD310">
        <v>163.19999999999999</v>
      </c>
    </row>
    <row r="311" spans="1:30" x14ac:dyDescent="0.3">
      <c r="A311" t="s">
        <v>30</v>
      </c>
      <c r="B311">
        <v>2021</v>
      </c>
      <c r="C311" t="s">
        <v>42</v>
      </c>
      <c r="D311">
        <v>145.4</v>
      </c>
      <c r="E311">
        <v>202.1</v>
      </c>
      <c r="F311">
        <v>172</v>
      </c>
      <c r="G311">
        <v>158</v>
      </c>
      <c r="H311">
        <v>195.5</v>
      </c>
      <c r="I311">
        <v>152.69999999999999</v>
      </c>
      <c r="J311">
        <v>151.4</v>
      </c>
      <c r="K311">
        <v>163.9</v>
      </c>
      <c r="L311">
        <v>119.3</v>
      </c>
      <c r="M311">
        <v>170.1</v>
      </c>
      <c r="N311">
        <v>168.3</v>
      </c>
      <c r="O311">
        <v>172.8</v>
      </c>
      <c r="P311">
        <v>162.1</v>
      </c>
      <c r="Q311">
        <v>190.5</v>
      </c>
      <c r="R311">
        <v>167.7</v>
      </c>
      <c r="S311">
        <v>163.6</v>
      </c>
      <c r="T311">
        <v>167.1</v>
      </c>
      <c r="U311" t="s">
        <v>32</v>
      </c>
      <c r="V311">
        <v>163.69999999999999</v>
      </c>
      <c r="W311">
        <v>161.30000000000001</v>
      </c>
      <c r="X311">
        <v>171.9</v>
      </c>
      <c r="Y311">
        <v>157.80000000000001</v>
      </c>
      <c r="Z311">
        <v>162.69999999999999</v>
      </c>
      <c r="AA311">
        <v>168.5</v>
      </c>
      <c r="AB311">
        <v>160.19999999999999</v>
      </c>
      <c r="AC311">
        <v>163.80000000000001</v>
      </c>
      <c r="AD311">
        <v>164</v>
      </c>
    </row>
    <row r="312" spans="1:30" x14ac:dyDescent="0.3">
      <c r="A312" t="s">
        <v>33</v>
      </c>
      <c r="B312">
        <v>2021</v>
      </c>
      <c r="C312" t="s">
        <v>42</v>
      </c>
      <c r="D312">
        <v>149.30000000000001</v>
      </c>
      <c r="E312">
        <v>207.4</v>
      </c>
      <c r="F312">
        <v>174.1</v>
      </c>
      <c r="G312">
        <v>159.1</v>
      </c>
      <c r="H312">
        <v>175</v>
      </c>
      <c r="I312">
        <v>161.19999999999999</v>
      </c>
      <c r="J312">
        <v>183.5</v>
      </c>
      <c r="K312">
        <v>164.5</v>
      </c>
      <c r="L312">
        <v>120.4</v>
      </c>
      <c r="M312">
        <v>166.2</v>
      </c>
      <c r="N312">
        <v>154.80000000000001</v>
      </c>
      <c r="O312">
        <v>175.1</v>
      </c>
      <c r="P312">
        <v>167.3</v>
      </c>
      <c r="Q312">
        <v>196.5</v>
      </c>
      <c r="R312">
        <v>159.80000000000001</v>
      </c>
      <c r="S312">
        <v>143.6</v>
      </c>
      <c r="T312">
        <v>157.4</v>
      </c>
      <c r="U312">
        <v>162.1</v>
      </c>
      <c r="V312">
        <v>160.80000000000001</v>
      </c>
      <c r="W312">
        <v>153.30000000000001</v>
      </c>
      <c r="X312">
        <v>162.80000000000001</v>
      </c>
      <c r="Y312">
        <v>150.5</v>
      </c>
      <c r="Z312">
        <v>153.9</v>
      </c>
      <c r="AA312">
        <v>160.30000000000001</v>
      </c>
      <c r="AB312">
        <v>159.6</v>
      </c>
      <c r="AC312">
        <v>156</v>
      </c>
      <c r="AD312">
        <v>162.30000000000001</v>
      </c>
    </row>
    <row r="313" spans="1:30" x14ac:dyDescent="0.3">
      <c r="A313" t="s">
        <v>34</v>
      </c>
      <c r="B313">
        <v>2021</v>
      </c>
      <c r="C313" t="s">
        <v>42</v>
      </c>
      <c r="D313">
        <v>146.6</v>
      </c>
      <c r="E313">
        <v>204</v>
      </c>
      <c r="F313">
        <v>172.8</v>
      </c>
      <c r="G313">
        <v>158.4</v>
      </c>
      <c r="H313">
        <v>188</v>
      </c>
      <c r="I313">
        <v>156.69999999999999</v>
      </c>
      <c r="J313">
        <v>162.30000000000001</v>
      </c>
      <c r="K313">
        <v>164.1</v>
      </c>
      <c r="L313">
        <v>119.7</v>
      </c>
      <c r="M313">
        <v>168.8</v>
      </c>
      <c r="N313">
        <v>162.69999999999999</v>
      </c>
      <c r="O313">
        <v>173.9</v>
      </c>
      <c r="P313">
        <v>164</v>
      </c>
      <c r="Q313">
        <v>192.1</v>
      </c>
      <c r="R313">
        <v>164.6</v>
      </c>
      <c r="S313">
        <v>155.30000000000001</v>
      </c>
      <c r="T313">
        <v>163.30000000000001</v>
      </c>
      <c r="U313">
        <v>162.1</v>
      </c>
      <c r="V313">
        <v>162.6</v>
      </c>
      <c r="W313">
        <v>157.5</v>
      </c>
      <c r="X313">
        <v>168.4</v>
      </c>
      <c r="Y313">
        <v>154</v>
      </c>
      <c r="Z313">
        <v>157.69999999999999</v>
      </c>
      <c r="AA313">
        <v>163.69999999999999</v>
      </c>
      <c r="AB313">
        <v>160</v>
      </c>
      <c r="AC313">
        <v>160</v>
      </c>
      <c r="AD313">
        <v>163.19999999999999</v>
      </c>
    </row>
    <row r="314" spans="1:30" x14ac:dyDescent="0.3">
      <c r="A314" t="s">
        <v>30</v>
      </c>
      <c r="B314">
        <v>2021</v>
      </c>
      <c r="C314" t="s">
        <v>43</v>
      </c>
      <c r="D314">
        <v>146.1</v>
      </c>
      <c r="E314">
        <v>202.5</v>
      </c>
      <c r="F314">
        <v>170.1</v>
      </c>
      <c r="G314">
        <v>158.4</v>
      </c>
      <c r="H314">
        <v>198.8</v>
      </c>
      <c r="I314">
        <v>152.6</v>
      </c>
      <c r="J314">
        <v>170.4</v>
      </c>
      <c r="K314">
        <v>165.2</v>
      </c>
      <c r="L314">
        <v>121.6</v>
      </c>
      <c r="M314">
        <v>170.6</v>
      </c>
      <c r="N314">
        <v>168.8</v>
      </c>
      <c r="O314">
        <v>173.6</v>
      </c>
      <c r="P314">
        <v>165.5</v>
      </c>
      <c r="Q314">
        <v>191.2</v>
      </c>
      <c r="R314">
        <v>168.9</v>
      </c>
      <c r="S314">
        <v>164.8</v>
      </c>
      <c r="T314">
        <v>168.3</v>
      </c>
      <c r="U314" t="s">
        <v>32</v>
      </c>
      <c r="V314">
        <v>165.5</v>
      </c>
      <c r="W314">
        <v>162</v>
      </c>
      <c r="X314">
        <v>172.5</v>
      </c>
      <c r="Y314">
        <v>159.5</v>
      </c>
      <c r="Z314">
        <v>163.19999999999999</v>
      </c>
      <c r="AA314">
        <v>169</v>
      </c>
      <c r="AB314">
        <v>161.1</v>
      </c>
      <c r="AC314">
        <v>164.7</v>
      </c>
      <c r="AD314">
        <v>166.3</v>
      </c>
    </row>
    <row r="315" spans="1:30" x14ac:dyDescent="0.3">
      <c r="A315" t="s">
        <v>33</v>
      </c>
      <c r="B315">
        <v>2021</v>
      </c>
      <c r="C315" t="s">
        <v>43</v>
      </c>
      <c r="D315">
        <v>150.1</v>
      </c>
      <c r="E315">
        <v>208.4</v>
      </c>
      <c r="F315">
        <v>173</v>
      </c>
      <c r="G315">
        <v>159.19999999999999</v>
      </c>
      <c r="H315">
        <v>176.6</v>
      </c>
      <c r="I315">
        <v>159.30000000000001</v>
      </c>
      <c r="J315">
        <v>214.4</v>
      </c>
      <c r="K315">
        <v>165.3</v>
      </c>
      <c r="L315">
        <v>122.5</v>
      </c>
      <c r="M315">
        <v>166.8</v>
      </c>
      <c r="N315">
        <v>155.4</v>
      </c>
      <c r="O315">
        <v>175.9</v>
      </c>
      <c r="P315">
        <v>171.5</v>
      </c>
      <c r="Q315">
        <v>197</v>
      </c>
      <c r="R315">
        <v>160.80000000000001</v>
      </c>
      <c r="S315">
        <v>144.4</v>
      </c>
      <c r="T315">
        <v>158.30000000000001</v>
      </c>
      <c r="U315">
        <v>163.6</v>
      </c>
      <c r="V315">
        <v>162.19999999999999</v>
      </c>
      <c r="W315">
        <v>154.30000000000001</v>
      </c>
      <c r="X315">
        <v>163.5</v>
      </c>
      <c r="Y315">
        <v>152.19999999999999</v>
      </c>
      <c r="Z315">
        <v>155.1</v>
      </c>
      <c r="AA315">
        <v>160.30000000000001</v>
      </c>
      <c r="AB315">
        <v>160.30000000000001</v>
      </c>
      <c r="AC315">
        <v>157</v>
      </c>
      <c r="AD315">
        <v>164.6</v>
      </c>
    </row>
    <row r="316" spans="1:30" x14ac:dyDescent="0.3">
      <c r="A316" t="s">
        <v>34</v>
      </c>
      <c r="B316">
        <v>2021</v>
      </c>
      <c r="C316" t="s">
        <v>43</v>
      </c>
      <c r="D316">
        <v>147.4</v>
      </c>
      <c r="E316">
        <v>204.6</v>
      </c>
      <c r="F316">
        <v>171.2</v>
      </c>
      <c r="G316">
        <v>158.69999999999999</v>
      </c>
      <c r="H316">
        <v>190.6</v>
      </c>
      <c r="I316">
        <v>155.69999999999999</v>
      </c>
      <c r="J316">
        <v>185.3</v>
      </c>
      <c r="K316">
        <v>165.2</v>
      </c>
      <c r="L316">
        <v>121.9</v>
      </c>
      <c r="M316">
        <v>169.3</v>
      </c>
      <c r="N316">
        <v>163.19999999999999</v>
      </c>
      <c r="O316">
        <v>174.7</v>
      </c>
      <c r="P316">
        <v>167.7</v>
      </c>
      <c r="Q316">
        <v>192.7</v>
      </c>
      <c r="R316">
        <v>165.7</v>
      </c>
      <c r="S316">
        <v>156.30000000000001</v>
      </c>
      <c r="T316">
        <v>164.3</v>
      </c>
      <c r="U316">
        <v>163.6</v>
      </c>
      <c r="V316">
        <v>164.2</v>
      </c>
      <c r="W316">
        <v>158.4</v>
      </c>
      <c r="X316">
        <v>169.1</v>
      </c>
      <c r="Y316">
        <v>155.69999999999999</v>
      </c>
      <c r="Z316">
        <v>158.6</v>
      </c>
      <c r="AA316">
        <v>163.9</v>
      </c>
      <c r="AB316">
        <v>160.80000000000001</v>
      </c>
      <c r="AC316">
        <v>161</v>
      </c>
      <c r="AD316">
        <v>165.5</v>
      </c>
    </row>
    <row r="317" spans="1:30" x14ac:dyDescent="0.3">
      <c r="A317" t="s">
        <v>30</v>
      </c>
      <c r="B317">
        <v>2021</v>
      </c>
      <c r="C317" t="s">
        <v>45</v>
      </c>
      <c r="D317">
        <v>146.9</v>
      </c>
      <c r="E317">
        <v>199.8</v>
      </c>
      <c r="F317">
        <v>171.5</v>
      </c>
      <c r="G317">
        <v>159.1</v>
      </c>
      <c r="H317">
        <v>198.4</v>
      </c>
      <c r="I317">
        <v>153.19999999999999</v>
      </c>
      <c r="J317">
        <v>183.9</v>
      </c>
      <c r="K317">
        <v>165.4</v>
      </c>
      <c r="L317">
        <v>122.1</v>
      </c>
      <c r="M317">
        <v>170.8</v>
      </c>
      <c r="N317">
        <v>169.1</v>
      </c>
      <c r="O317">
        <v>174.3</v>
      </c>
      <c r="P317">
        <v>167.5</v>
      </c>
      <c r="Q317">
        <v>191.4</v>
      </c>
      <c r="R317">
        <v>170.4</v>
      </c>
      <c r="S317">
        <v>166</v>
      </c>
      <c r="T317">
        <v>169.8</v>
      </c>
      <c r="U317" t="s">
        <v>32</v>
      </c>
      <c r="V317">
        <v>165.3</v>
      </c>
      <c r="W317">
        <v>162.9</v>
      </c>
      <c r="X317">
        <v>173.4</v>
      </c>
      <c r="Y317">
        <v>158.9</v>
      </c>
      <c r="Z317">
        <v>163.80000000000001</v>
      </c>
      <c r="AA317">
        <v>169.3</v>
      </c>
      <c r="AB317">
        <v>162.4</v>
      </c>
      <c r="AC317">
        <v>165.2</v>
      </c>
      <c r="AD317">
        <v>167.6</v>
      </c>
    </row>
    <row r="318" spans="1:30" x14ac:dyDescent="0.3">
      <c r="A318" t="s">
        <v>33</v>
      </c>
      <c r="B318">
        <v>2021</v>
      </c>
      <c r="C318" t="s">
        <v>45</v>
      </c>
      <c r="D318">
        <v>151</v>
      </c>
      <c r="E318">
        <v>204.9</v>
      </c>
      <c r="F318">
        <v>175.4</v>
      </c>
      <c r="G318">
        <v>159.6</v>
      </c>
      <c r="H318">
        <v>175.8</v>
      </c>
      <c r="I318">
        <v>160.30000000000001</v>
      </c>
      <c r="J318">
        <v>229.1</v>
      </c>
      <c r="K318">
        <v>165.1</v>
      </c>
      <c r="L318">
        <v>123.1</v>
      </c>
      <c r="M318">
        <v>167.2</v>
      </c>
      <c r="N318">
        <v>156.1</v>
      </c>
      <c r="O318">
        <v>176.8</v>
      </c>
      <c r="P318">
        <v>173.5</v>
      </c>
      <c r="Q318">
        <v>197</v>
      </c>
      <c r="R318">
        <v>162.30000000000001</v>
      </c>
      <c r="S318">
        <v>145.30000000000001</v>
      </c>
      <c r="T318">
        <v>159.69999999999999</v>
      </c>
      <c r="U318">
        <v>164.2</v>
      </c>
      <c r="V318">
        <v>161.6</v>
      </c>
      <c r="W318">
        <v>155.19999999999999</v>
      </c>
      <c r="X318">
        <v>164.2</v>
      </c>
      <c r="Y318">
        <v>151.19999999999999</v>
      </c>
      <c r="Z318">
        <v>156.69999999999999</v>
      </c>
      <c r="AA318">
        <v>160.80000000000001</v>
      </c>
      <c r="AB318">
        <v>161.80000000000001</v>
      </c>
      <c r="AC318">
        <v>157.30000000000001</v>
      </c>
      <c r="AD318">
        <v>165.6</v>
      </c>
    </row>
    <row r="319" spans="1:30" x14ac:dyDescent="0.3">
      <c r="A319" t="s">
        <v>34</v>
      </c>
      <c r="B319">
        <v>2021</v>
      </c>
      <c r="C319" t="s">
        <v>45</v>
      </c>
      <c r="D319">
        <v>148.19999999999999</v>
      </c>
      <c r="E319">
        <v>201.6</v>
      </c>
      <c r="F319">
        <v>173</v>
      </c>
      <c r="G319">
        <v>159.30000000000001</v>
      </c>
      <c r="H319">
        <v>190.1</v>
      </c>
      <c r="I319">
        <v>156.5</v>
      </c>
      <c r="J319">
        <v>199.2</v>
      </c>
      <c r="K319">
        <v>165.3</v>
      </c>
      <c r="L319">
        <v>122.4</v>
      </c>
      <c r="M319">
        <v>169.6</v>
      </c>
      <c r="N319">
        <v>163.69999999999999</v>
      </c>
      <c r="O319">
        <v>175.5</v>
      </c>
      <c r="P319">
        <v>169.7</v>
      </c>
      <c r="Q319">
        <v>192.9</v>
      </c>
      <c r="R319">
        <v>167.2</v>
      </c>
      <c r="S319">
        <v>157.4</v>
      </c>
      <c r="T319">
        <v>165.8</v>
      </c>
      <c r="U319">
        <v>164.2</v>
      </c>
      <c r="V319">
        <v>163.9</v>
      </c>
      <c r="W319">
        <v>159.30000000000001</v>
      </c>
      <c r="X319">
        <v>169.9</v>
      </c>
      <c r="Y319">
        <v>154.80000000000001</v>
      </c>
      <c r="Z319">
        <v>159.80000000000001</v>
      </c>
      <c r="AA319">
        <v>164.3</v>
      </c>
      <c r="AB319">
        <v>162.19999999999999</v>
      </c>
      <c r="AC319">
        <v>161.4</v>
      </c>
      <c r="AD319">
        <v>166.7</v>
      </c>
    </row>
    <row r="320" spans="1:30" x14ac:dyDescent="0.3">
      <c r="A320" t="s">
        <v>30</v>
      </c>
      <c r="B320">
        <v>2021</v>
      </c>
      <c r="C320" t="s">
        <v>46</v>
      </c>
      <c r="D320">
        <v>147.4</v>
      </c>
      <c r="E320">
        <v>197</v>
      </c>
      <c r="F320">
        <v>176.5</v>
      </c>
      <c r="G320">
        <v>159.80000000000001</v>
      </c>
      <c r="H320">
        <v>195.8</v>
      </c>
      <c r="I320">
        <v>152</v>
      </c>
      <c r="J320">
        <v>172.3</v>
      </c>
      <c r="K320">
        <v>164.5</v>
      </c>
      <c r="L320">
        <v>120.6</v>
      </c>
      <c r="M320">
        <v>171.7</v>
      </c>
      <c r="N320">
        <v>169.7</v>
      </c>
      <c r="O320">
        <v>175.1</v>
      </c>
      <c r="P320">
        <v>165.8</v>
      </c>
      <c r="Q320">
        <v>190.8</v>
      </c>
      <c r="R320">
        <v>171.8</v>
      </c>
      <c r="S320">
        <v>167.3</v>
      </c>
      <c r="T320">
        <v>171.2</v>
      </c>
      <c r="U320" t="s">
        <v>32</v>
      </c>
      <c r="V320">
        <v>165.6</v>
      </c>
      <c r="W320">
        <v>163.9</v>
      </c>
      <c r="X320">
        <v>174</v>
      </c>
      <c r="Y320">
        <v>160.1</v>
      </c>
      <c r="Z320">
        <v>164.5</v>
      </c>
      <c r="AA320">
        <v>169.7</v>
      </c>
      <c r="AB320">
        <v>162.80000000000001</v>
      </c>
      <c r="AC320">
        <v>166</v>
      </c>
      <c r="AD320">
        <v>167</v>
      </c>
    </row>
    <row r="321" spans="1:30" x14ac:dyDescent="0.3">
      <c r="A321" t="s">
        <v>33</v>
      </c>
      <c r="B321">
        <v>2021</v>
      </c>
      <c r="C321" t="s">
        <v>46</v>
      </c>
      <c r="D321">
        <v>151.6</v>
      </c>
      <c r="E321">
        <v>202.2</v>
      </c>
      <c r="F321">
        <v>180</v>
      </c>
      <c r="G321">
        <v>160</v>
      </c>
      <c r="H321">
        <v>173.5</v>
      </c>
      <c r="I321">
        <v>158.30000000000001</v>
      </c>
      <c r="J321">
        <v>219.5</v>
      </c>
      <c r="K321">
        <v>164.2</v>
      </c>
      <c r="L321">
        <v>121.9</v>
      </c>
      <c r="M321">
        <v>168.2</v>
      </c>
      <c r="N321">
        <v>156.5</v>
      </c>
      <c r="O321">
        <v>178.2</v>
      </c>
      <c r="P321">
        <v>172.2</v>
      </c>
      <c r="Q321">
        <v>196.8</v>
      </c>
      <c r="R321">
        <v>163.30000000000001</v>
      </c>
      <c r="S321">
        <v>146.69999999999999</v>
      </c>
      <c r="T321">
        <v>160.69999999999999</v>
      </c>
      <c r="U321">
        <v>163.4</v>
      </c>
      <c r="V321">
        <v>161.69999999999999</v>
      </c>
      <c r="W321">
        <v>156</v>
      </c>
      <c r="X321">
        <v>165.1</v>
      </c>
      <c r="Y321">
        <v>151.80000000000001</v>
      </c>
      <c r="Z321">
        <v>157.6</v>
      </c>
      <c r="AA321">
        <v>160.6</v>
      </c>
      <c r="AB321">
        <v>162.4</v>
      </c>
      <c r="AC321">
        <v>157.80000000000001</v>
      </c>
      <c r="AD321">
        <v>165.2</v>
      </c>
    </row>
    <row r="322" spans="1:30" x14ac:dyDescent="0.3">
      <c r="A322" t="s">
        <v>34</v>
      </c>
      <c r="B322">
        <v>2021</v>
      </c>
      <c r="C322" t="s">
        <v>46</v>
      </c>
      <c r="D322">
        <v>148.69999999999999</v>
      </c>
      <c r="E322">
        <v>198.8</v>
      </c>
      <c r="F322">
        <v>177.9</v>
      </c>
      <c r="G322">
        <v>159.9</v>
      </c>
      <c r="H322">
        <v>187.6</v>
      </c>
      <c r="I322">
        <v>154.9</v>
      </c>
      <c r="J322">
        <v>188.3</v>
      </c>
      <c r="K322">
        <v>164.4</v>
      </c>
      <c r="L322">
        <v>121</v>
      </c>
      <c r="M322">
        <v>170.5</v>
      </c>
      <c r="N322">
        <v>164.2</v>
      </c>
      <c r="O322">
        <v>176.5</v>
      </c>
      <c r="P322">
        <v>168.2</v>
      </c>
      <c r="Q322">
        <v>192.4</v>
      </c>
      <c r="R322">
        <v>168.5</v>
      </c>
      <c r="S322">
        <v>158.69999999999999</v>
      </c>
      <c r="T322">
        <v>167</v>
      </c>
      <c r="U322">
        <v>163.4</v>
      </c>
      <c r="V322">
        <v>164.1</v>
      </c>
      <c r="W322">
        <v>160.19999999999999</v>
      </c>
      <c r="X322">
        <v>170.6</v>
      </c>
      <c r="Y322">
        <v>155.69999999999999</v>
      </c>
      <c r="Z322">
        <v>160.6</v>
      </c>
      <c r="AA322">
        <v>164.4</v>
      </c>
      <c r="AB322">
        <v>162.6</v>
      </c>
      <c r="AC322">
        <v>162</v>
      </c>
      <c r="AD322">
        <v>166.2</v>
      </c>
    </row>
    <row r="323" spans="1:30" x14ac:dyDescent="0.3">
      <c r="A323" t="s">
        <v>30</v>
      </c>
      <c r="B323">
        <v>2022</v>
      </c>
      <c r="C323" t="s">
        <v>31</v>
      </c>
      <c r="D323">
        <v>148.30000000000001</v>
      </c>
      <c r="E323">
        <v>196.9</v>
      </c>
      <c r="F323">
        <v>178</v>
      </c>
      <c r="G323">
        <v>160.5</v>
      </c>
      <c r="H323">
        <v>192.6</v>
      </c>
      <c r="I323">
        <v>151.19999999999999</v>
      </c>
      <c r="J323">
        <v>159.19999999999999</v>
      </c>
      <c r="K323">
        <v>164</v>
      </c>
      <c r="L323">
        <v>119.3</v>
      </c>
      <c r="M323">
        <v>173.3</v>
      </c>
      <c r="N323">
        <v>169.8</v>
      </c>
      <c r="O323">
        <v>175.8</v>
      </c>
      <c r="P323">
        <v>164.1</v>
      </c>
      <c r="Q323">
        <v>190.7</v>
      </c>
      <c r="R323">
        <v>173.2</v>
      </c>
      <c r="S323">
        <v>169.3</v>
      </c>
      <c r="T323">
        <v>172.7</v>
      </c>
      <c r="U323" t="s">
        <v>32</v>
      </c>
      <c r="V323">
        <v>165.8</v>
      </c>
      <c r="W323">
        <v>164.9</v>
      </c>
      <c r="X323">
        <v>174.7</v>
      </c>
      <c r="Y323">
        <v>160.80000000000001</v>
      </c>
      <c r="Z323">
        <v>164.9</v>
      </c>
      <c r="AA323">
        <v>169.9</v>
      </c>
      <c r="AB323">
        <v>163.19999999999999</v>
      </c>
      <c r="AC323">
        <v>166.6</v>
      </c>
      <c r="AD323">
        <v>166.4</v>
      </c>
    </row>
    <row r="324" spans="1:30" x14ac:dyDescent="0.3">
      <c r="A324" t="s">
        <v>33</v>
      </c>
      <c r="B324">
        <v>2022</v>
      </c>
      <c r="C324" t="s">
        <v>31</v>
      </c>
      <c r="D324">
        <v>152.19999999999999</v>
      </c>
      <c r="E324">
        <v>202.1</v>
      </c>
      <c r="F324">
        <v>180.1</v>
      </c>
      <c r="G324">
        <v>160.4</v>
      </c>
      <c r="H324">
        <v>171</v>
      </c>
      <c r="I324">
        <v>156.5</v>
      </c>
      <c r="J324">
        <v>203.6</v>
      </c>
      <c r="K324">
        <v>163.80000000000001</v>
      </c>
      <c r="L324">
        <v>121.3</v>
      </c>
      <c r="M324">
        <v>169.8</v>
      </c>
      <c r="N324">
        <v>156.6</v>
      </c>
      <c r="O324">
        <v>179</v>
      </c>
      <c r="P324">
        <v>170.3</v>
      </c>
      <c r="Q324">
        <v>196.4</v>
      </c>
      <c r="R324">
        <v>164.7</v>
      </c>
      <c r="S324">
        <v>148.5</v>
      </c>
      <c r="T324">
        <v>162.19999999999999</v>
      </c>
      <c r="U324">
        <v>164.5</v>
      </c>
      <c r="V324">
        <v>161.6</v>
      </c>
      <c r="W324">
        <v>156.80000000000001</v>
      </c>
      <c r="X324">
        <v>166.1</v>
      </c>
      <c r="Y324">
        <v>152.69999999999999</v>
      </c>
      <c r="Z324">
        <v>158.4</v>
      </c>
      <c r="AA324">
        <v>161</v>
      </c>
      <c r="AB324">
        <v>162.80000000000001</v>
      </c>
      <c r="AC324">
        <v>158.6</v>
      </c>
      <c r="AD324">
        <v>165</v>
      </c>
    </row>
    <row r="325" spans="1:30" x14ac:dyDescent="0.3">
      <c r="A325" t="s">
        <v>34</v>
      </c>
      <c r="B325">
        <v>2022</v>
      </c>
      <c r="C325" t="s">
        <v>31</v>
      </c>
      <c r="D325">
        <v>149.5</v>
      </c>
      <c r="E325">
        <v>198.7</v>
      </c>
      <c r="F325">
        <v>178.8</v>
      </c>
      <c r="G325">
        <v>160.5</v>
      </c>
      <c r="H325">
        <v>184.7</v>
      </c>
      <c r="I325">
        <v>153.69999999999999</v>
      </c>
      <c r="J325">
        <v>174.3</v>
      </c>
      <c r="K325">
        <v>163.9</v>
      </c>
      <c r="L325">
        <v>120</v>
      </c>
      <c r="M325">
        <v>172.1</v>
      </c>
      <c r="N325">
        <v>164.3</v>
      </c>
      <c r="O325">
        <v>177.3</v>
      </c>
      <c r="P325">
        <v>166.4</v>
      </c>
      <c r="Q325">
        <v>192.2</v>
      </c>
      <c r="R325">
        <v>169.9</v>
      </c>
      <c r="S325">
        <v>160.69999999999999</v>
      </c>
      <c r="T325">
        <v>168.5</v>
      </c>
      <c r="U325">
        <v>164.5</v>
      </c>
      <c r="V325">
        <v>164.2</v>
      </c>
      <c r="W325">
        <v>161.1</v>
      </c>
      <c r="X325">
        <v>171.4</v>
      </c>
      <c r="Y325">
        <v>156.5</v>
      </c>
      <c r="Z325">
        <v>161.19999999999999</v>
      </c>
      <c r="AA325">
        <v>164.7</v>
      </c>
      <c r="AB325">
        <v>163</v>
      </c>
      <c r="AC325">
        <v>162.69999999999999</v>
      </c>
      <c r="AD325">
        <v>165.7</v>
      </c>
    </row>
    <row r="326" spans="1:30" x14ac:dyDescent="0.3">
      <c r="A326" t="s">
        <v>30</v>
      </c>
      <c r="B326">
        <v>2022</v>
      </c>
      <c r="C326" t="s">
        <v>35</v>
      </c>
      <c r="D326">
        <v>148.80000000000001</v>
      </c>
      <c r="E326">
        <v>198.1</v>
      </c>
      <c r="F326">
        <v>175.5</v>
      </c>
      <c r="G326">
        <v>160.69999999999999</v>
      </c>
      <c r="H326">
        <v>192.6</v>
      </c>
      <c r="I326">
        <v>151.4</v>
      </c>
      <c r="J326">
        <v>155.19999999999999</v>
      </c>
      <c r="K326">
        <v>163.9</v>
      </c>
      <c r="L326">
        <v>118.1</v>
      </c>
      <c r="M326">
        <v>175.4</v>
      </c>
      <c r="N326">
        <v>170.5</v>
      </c>
      <c r="O326">
        <v>176.3</v>
      </c>
      <c r="P326">
        <v>163.9</v>
      </c>
      <c r="Q326">
        <v>191.5</v>
      </c>
      <c r="R326">
        <v>174.1</v>
      </c>
      <c r="S326">
        <v>171</v>
      </c>
      <c r="T326">
        <v>173.7</v>
      </c>
      <c r="U326" t="s">
        <v>32</v>
      </c>
      <c r="V326">
        <v>167.4</v>
      </c>
      <c r="W326">
        <v>165.7</v>
      </c>
      <c r="X326">
        <v>175.3</v>
      </c>
      <c r="Y326">
        <v>161.19999999999999</v>
      </c>
      <c r="Z326">
        <v>165.5</v>
      </c>
      <c r="AA326">
        <v>170.3</v>
      </c>
      <c r="AB326">
        <v>164.5</v>
      </c>
      <c r="AC326">
        <v>167.3</v>
      </c>
      <c r="AD326">
        <v>166.7</v>
      </c>
    </row>
    <row r="327" spans="1:30" x14ac:dyDescent="0.3">
      <c r="A327" t="s">
        <v>33</v>
      </c>
      <c r="B327">
        <v>2022</v>
      </c>
      <c r="C327" t="s">
        <v>35</v>
      </c>
      <c r="D327">
        <v>152.5</v>
      </c>
      <c r="E327">
        <v>205.2</v>
      </c>
      <c r="F327">
        <v>176.4</v>
      </c>
      <c r="G327">
        <v>160.6</v>
      </c>
      <c r="H327">
        <v>171.5</v>
      </c>
      <c r="I327">
        <v>156.4</v>
      </c>
      <c r="J327">
        <v>198</v>
      </c>
      <c r="K327">
        <v>163.19999999999999</v>
      </c>
      <c r="L327">
        <v>120.6</v>
      </c>
      <c r="M327">
        <v>172.2</v>
      </c>
      <c r="N327">
        <v>156.69999999999999</v>
      </c>
      <c r="O327">
        <v>180</v>
      </c>
      <c r="P327">
        <v>170.2</v>
      </c>
      <c r="Q327">
        <v>196.5</v>
      </c>
      <c r="R327">
        <v>165.7</v>
      </c>
      <c r="S327">
        <v>150.4</v>
      </c>
      <c r="T327">
        <v>163.4</v>
      </c>
      <c r="U327">
        <v>165.5</v>
      </c>
      <c r="V327">
        <v>163</v>
      </c>
      <c r="W327">
        <v>157.4</v>
      </c>
      <c r="X327">
        <v>167.2</v>
      </c>
      <c r="Y327">
        <v>153.1</v>
      </c>
      <c r="Z327">
        <v>159.5</v>
      </c>
      <c r="AA327">
        <v>162</v>
      </c>
      <c r="AB327">
        <v>164.2</v>
      </c>
      <c r="AC327">
        <v>159.4</v>
      </c>
      <c r="AD327">
        <v>165.5</v>
      </c>
    </row>
    <row r="328" spans="1:30" x14ac:dyDescent="0.3">
      <c r="A328" t="s">
        <v>34</v>
      </c>
      <c r="B328">
        <v>2022</v>
      </c>
      <c r="C328" t="s">
        <v>35</v>
      </c>
      <c r="D328">
        <v>150</v>
      </c>
      <c r="E328">
        <v>200.6</v>
      </c>
      <c r="F328">
        <v>175.8</v>
      </c>
      <c r="G328">
        <v>160.69999999999999</v>
      </c>
      <c r="H328">
        <v>184.9</v>
      </c>
      <c r="I328">
        <v>153.69999999999999</v>
      </c>
      <c r="J328">
        <v>169.7</v>
      </c>
      <c r="K328">
        <v>163.69999999999999</v>
      </c>
      <c r="L328">
        <v>118.9</v>
      </c>
      <c r="M328">
        <v>174.3</v>
      </c>
      <c r="N328">
        <v>164.7</v>
      </c>
      <c r="O328">
        <v>178</v>
      </c>
      <c r="P328">
        <v>166.2</v>
      </c>
      <c r="Q328">
        <v>192.8</v>
      </c>
      <c r="R328">
        <v>170.8</v>
      </c>
      <c r="S328">
        <v>162.4</v>
      </c>
      <c r="T328">
        <v>169.6</v>
      </c>
      <c r="U328">
        <v>165.5</v>
      </c>
      <c r="V328">
        <v>165.7</v>
      </c>
      <c r="W328">
        <v>161.80000000000001</v>
      </c>
      <c r="X328">
        <v>172.2</v>
      </c>
      <c r="Y328">
        <v>156.9</v>
      </c>
      <c r="Z328">
        <v>162.1</v>
      </c>
      <c r="AA328">
        <v>165.4</v>
      </c>
      <c r="AB328">
        <v>164.4</v>
      </c>
      <c r="AC328">
        <v>163.5</v>
      </c>
      <c r="AD328">
        <v>166.1</v>
      </c>
    </row>
    <row r="329" spans="1:30" x14ac:dyDescent="0.3">
      <c r="A329" t="s">
        <v>30</v>
      </c>
      <c r="B329">
        <v>2022</v>
      </c>
      <c r="C329" t="s">
        <v>36</v>
      </c>
      <c r="D329">
        <v>150.19999999999999</v>
      </c>
      <c r="E329">
        <v>208</v>
      </c>
      <c r="F329">
        <v>167.9</v>
      </c>
      <c r="G329">
        <v>162</v>
      </c>
      <c r="H329">
        <v>203.1</v>
      </c>
      <c r="I329">
        <v>155.9</v>
      </c>
      <c r="J329">
        <v>155.80000000000001</v>
      </c>
      <c r="K329">
        <v>164.2</v>
      </c>
      <c r="L329">
        <v>118.1</v>
      </c>
      <c r="M329">
        <v>178.7</v>
      </c>
      <c r="N329">
        <v>171.2</v>
      </c>
      <c r="O329">
        <v>177.4</v>
      </c>
      <c r="P329">
        <v>166.6</v>
      </c>
      <c r="Q329">
        <v>192.3</v>
      </c>
      <c r="R329">
        <v>175.4</v>
      </c>
      <c r="S329">
        <v>173.2</v>
      </c>
      <c r="T329">
        <v>175.1</v>
      </c>
      <c r="U329" t="s">
        <v>32</v>
      </c>
      <c r="V329">
        <v>168.9</v>
      </c>
      <c r="W329">
        <v>166.5</v>
      </c>
      <c r="X329">
        <v>176</v>
      </c>
      <c r="Y329">
        <v>162</v>
      </c>
      <c r="Z329">
        <v>166.6</v>
      </c>
      <c r="AA329">
        <v>170.6</v>
      </c>
      <c r="AB329">
        <v>167.4</v>
      </c>
      <c r="AC329">
        <v>168.3</v>
      </c>
      <c r="AD329">
        <v>168.7</v>
      </c>
    </row>
    <row r="330" spans="1:30" x14ac:dyDescent="0.3">
      <c r="A330" t="s">
        <v>33</v>
      </c>
      <c r="B330">
        <v>2022</v>
      </c>
      <c r="C330" t="s">
        <v>36</v>
      </c>
      <c r="D330">
        <v>153.69999999999999</v>
      </c>
      <c r="E330">
        <v>215.8</v>
      </c>
      <c r="F330">
        <v>167.7</v>
      </c>
      <c r="G330">
        <v>162.6</v>
      </c>
      <c r="H330">
        <v>180</v>
      </c>
      <c r="I330">
        <v>159.6</v>
      </c>
      <c r="J330">
        <v>188.4</v>
      </c>
      <c r="K330">
        <v>163.4</v>
      </c>
      <c r="L330">
        <v>120.3</v>
      </c>
      <c r="M330">
        <v>174.7</v>
      </c>
      <c r="N330">
        <v>157.1</v>
      </c>
      <c r="O330">
        <v>181.5</v>
      </c>
      <c r="P330">
        <v>171.5</v>
      </c>
      <c r="Q330">
        <v>197.5</v>
      </c>
      <c r="R330">
        <v>167.1</v>
      </c>
      <c r="S330">
        <v>152.6</v>
      </c>
      <c r="T330">
        <v>164.9</v>
      </c>
      <c r="U330">
        <v>165.3</v>
      </c>
      <c r="V330">
        <v>164.5</v>
      </c>
      <c r="W330">
        <v>158.6</v>
      </c>
      <c r="X330">
        <v>168.2</v>
      </c>
      <c r="Y330">
        <v>154.19999999999999</v>
      </c>
      <c r="Z330">
        <v>160.80000000000001</v>
      </c>
      <c r="AA330">
        <v>162.69999999999999</v>
      </c>
      <c r="AB330">
        <v>166.8</v>
      </c>
      <c r="AC330">
        <v>160.6</v>
      </c>
      <c r="AD330">
        <v>166.5</v>
      </c>
    </row>
    <row r="331" spans="1:30" x14ac:dyDescent="0.3">
      <c r="A331" t="s">
        <v>34</v>
      </c>
      <c r="B331">
        <v>2022</v>
      </c>
      <c r="C331" t="s">
        <v>36</v>
      </c>
      <c r="D331">
        <v>151.30000000000001</v>
      </c>
      <c r="E331">
        <v>210.7</v>
      </c>
      <c r="F331">
        <v>167.8</v>
      </c>
      <c r="G331">
        <v>162.19999999999999</v>
      </c>
      <c r="H331">
        <v>194.6</v>
      </c>
      <c r="I331">
        <v>157.6</v>
      </c>
      <c r="J331">
        <v>166.9</v>
      </c>
      <c r="K331">
        <v>163.9</v>
      </c>
      <c r="L331">
        <v>118.8</v>
      </c>
      <c r="M331">
        <v>177.4</v>
      </c>
      <c r="N331">
        <v>165.3</v>
      </c>
      <c r="O331">
        <v>179.3</v>
      </c>
      <c r="P331">
        <v>168.4</v>
      </c>
      <c r="Q331">
        <v>193.7</v>
      </c>
      <c r="R331">
        <v>172.1</v>
      </c>
      <c r="S331">
        <v>164.6</v>
      </c>
      <c r="T331">
        <v>171.1</v>
      </c>
      <c r="U331">
        <v>165.3</v>
      </c>
      <c r="V331">
        <v>167.2</v>
      </c>
      <c r="W331">
        <v>162.80000000000001</v>
      </c>
      <c r="X331">
        <v>173</v>
      </c>
      <c r="Y331">
        <v>157.9</v>
      </c>
      <c r="Z331">
        <v>163.30000000000001</v>
      </c>
      <c r="AA331">
        <v>166</v>
      </c>
      <c r="AB331">
        <v>167.2</v>
      </c>
      <c r="AC331">
        <v>164.6</v>
      </c>
      <c r="AD331">
        <v>167.7</v>
      </c>
    </row>
    <row r="332" spans="1:30" x14ac:dyDescent="0.3">
      <c r="A332" t="s">
        <v>30</v>
      </c>
      <c r="B332">
        <v>2022</v>
      </c>
      <c r="C332" t="s">
        <v>37</v>
      </c>
      <c r="D332">
        <v>151.80000000000001</v>
      </c>
      <c r="E332">
        <v>209.7</v>
      </c>
      <c r="F332">
        <v>164.5</v>
      </c>
      <c r="G332">
        <v>163.80000000000001</v>
      </c>
      <c r="H332">
        <v>207.4</v>
      </c>
      <c r="I332">
        <v>169.7</v>
      </c>
      <c r="J332">
        <v>153.6</v>
      </c>
      <c r="K332">
        <v>165.1</v>
      </c>
      <c r="L332">
        <v>118.2</v>
      </c>
      <c r="M332">
        <v>182.9</v>
      </c>
      <c r="N332">
        <v>172.4</v>
      </c>
      <c r="O332">
        <v>178.9</v>
      </c>
      <c r="P332">
        <v>168.6</v>
      </c>
      <c r="Q332">
        <v>192.8</v>
      </c>
      <c r="R332">
        <v>177.5</v>
      </c>
      <c r="S332">
        <v>175.1</v>
      </c>
      <c r="T332">
        <v>177.1</v>
      </c>
      <c r="U332" t="s">
        <v>32</v>
      </c>
      <c r="V332">
        <v>173.3</v>
      </c>
      <c r="W332">
        <v>167.7</v>
      </c>
      <c r="X332">
        <v>177</v>
      </c>
      <c r="Y332">
        <v>166.2</v>
      </c>
      <c r="Z332">
        <v>167.2</v>
      </c>
      <c r="AA332">
        <v>170.9</v>
      </c>
      <c r="AB332">
        <v>169</v>
      </c>
      <c r="AC332">
        <v>170.2</v>
      </c>
      <c r="AD332">
        <v>170.8</v>
      </c>
    </row>
    <row r="333" spans="1:30" x14ac:dyDescent="0.3">
      <c r="A333" t="s">
        <v>33</v>
      </c>
      <c r="B333">
        <v>2022</v>
      </c>
      <c r="C333" t="s">
        <v>37</v>
      </c>
      <c r="D333">
        <v>155.4</v>
      </c>
      <c r="E333">
        <v>215.8</v>
      </c>
      <c r="F333">
        <v>164.6</v>
      </c>
      <c r="G333">
        <v>164.2</v>
      </c>
      <c r="H333">
        <v>186</v>
      </c>
      <c r="I333">
        <v>175.9</v>
      </c>
      <c r="J333">
        <v>190.7</v>
      </c>
      <c r="K333">
        <v>164</v>
      </c>
      <c r="L333">
        <v>120.5</v>
      </c>
      <c r="M333">
        <v>178</v>
      </c>
      <c r="N333">
        <v>157.5</v>
      </c>
      <c r="O333">
        <v>183.3</v>
      </c>
      <c r="P333">
        <v>174.5</v>
      </c>
      <c r="Q333">
        <v>197.1</v>
      </c>
      <c r="R333">
        <v>168.4</v>
      </c>
      <c r="S333">
        <v>154.5</v>
      </c>
      <c r="T333">
        <v>166.3</v>
      </c>
      <c r="U333">
        <v>167</v>
      </c>
      <c r="V333">
        <v>170.5</v>
      </c>
      <c r="W333">
        <v>159.80000000000001</v>
      </c>
      <c r="X333">
        <v>169</v>
      </c>
      <c r="Y333">
        <v>159.30000000000001</v>
      </c>
      <c r="Z333">
        <v>162.19999999999999</v>
      </c>
      <c r="AA333">
        <v>164</v>
      </c>
      <c r="AB333">
        <v>168.4</v>
      </c>
      <c r="AC333">
        <v>163.1</v>
      </c>
      <c r="AD333">
        <v>169.2</v>
      </c>
    </row>
    <row r="334" spans="1:30" x14ac:dyDescent="0.3">
      <c r="A334" t="s">
        <v>34</v>
      </c>
      <c r="B334">
        <v>2022</v>
      </c>
      <c r="C334" t="s">
        <v>37</v>
      </c>
      <c r="D334">
        <v>152.9</v>
      </c>
      <c r="E334">
        <v>211.8</v>
      </c>
      <c r="F334">
        <v>164.5</v>
      </c>
      <c r="G334">
        <v>163.9</v>
      </c>
      <c r="H334">
        <v>199.5</v>
      </c>
      <c r="I334">
        <v>172.6</v>
      </c>
      <c r="J334">
        <v>166.2</v>
      </c>
      <c r="K334">
        <v>164.7</v>
      </c>
      <c r="L334">
        <v>119</v>
      </c>
      <c r="M334">
        <v>181.3</v>
      </c>
      <c r="N334">
        <v>166.2</v>
      </c>
      <c r="O334">
        <v>180.9</v>
      </c>
      <c r="P334">
        <v>170.8</v>
      </c>
      <c r="Q334">
        <v>193.9</v>
      </c>
      <c r="R334">
        <v>173.9</v>
      </c>
      <c r="S334">
        <v>166.5</v>
      </c>
      <c r="T334">
        <v>172.8</v>
      </c>
      <c r="U334">
        <v>167</v>
      </c>
      <c r="V334">
        <v>172.2</v>
      </c>
      <c r="W334">
        <v>164</v>
      </c>
      <c r="X334">
        <v>174</v>
      </c>
      <c r="Y334">
        <v>162.6</v>
      </c>
      <c r="Z334">
        <v>164.4</v>
      </c>
      <c r="AA334">
        <v>166.9</v>
      </c>
      <c r="AB334">
        <v>168.8</v>
      </c>
      <c r="AC334">
        <v>166.8</v>
      </c>
      <c r="AD334">
        <v>170.1</v>
      </c>
    </row>
    <row r="335" spans="1:30" x14ac:dyDescent="0.3">
      <c r="A335" t="s">
        <v>30</v>
      </c>
      <c r="B335">
        <v>2022</v>
      </c>
      <c r="C335" t="s">
        <v>38</v>
      </c>
      <c r="D335">
        <v>152.9</v>
      </c>
      <c r="E335">
        <v>214.7</v>
      </c>
      <c r="F335">
        <v>161.4</v>
      </c>
      <c r="G335">
        <v>164.6</v>
      </c>
      <c r="H335">
        <v>209.9</v>
      </c>
      <c r="I335">
        <v>168</v>
      </c>
      <c r="J335">
        <v>160.4</v>
      </c>
      <c r="K335">
        <v>165</v>
      </c>
      <c r="L335">
        <v>118.9</v>
      </c>
      <c r="M335">
        <v>186.6</v>
      </c>
      <c r="N335">
        <v>173.2</v>
      </c>
      <c r="O335">
        <v>180.4</v>
      </c>
      <c r="P335">
        <v>170.8</v>
      </c>
      <c r="Q335">
        <v>192.9</v>
      </c>
      <c r="R335">
        <v>179.3</v>
      </c>
      <c r="S335">
        <v>177.2</v>
      </c>
      <c r="T335">
        <v>179</v>
      </c>
      <c r="U335" t="s">
        <v>32</v>
      </c>
      <c r="V335">
        <v>175.3</v>
      </c>
      <c r="W335">
        <v>168.9</v>
      </c>
      <c r="X335">
        <v>177.7</v>
      </c>
      <c r="Y335">
        <v>167.1</v>
      </c>
      <c r="Z335">
        <v>167.6</v>
      </c>
      <c r="AA335">
        <v>171.8</v>
      </c>
      <c r="AB335">
        <v>168.5</v>
      </c>
      <c r="AC335">
        <v>170.9</v>
      </c>
      <c r="AD335">
        <v>172.5</v>
      </c>
    </row>
    <row r="336" spans="1:30" x14ac:dyDescent="0.3">
      <c r="A336" t="s">
        <v>33</v>
      </c>
      <c r="B336">
        <v>2022</v>
      </c>
      <c r="C336" t="s">
        <v>38</v>
      </c>
      <c r="D336">
        <v>156.69999999999999</v>
      </c>
      <c r="E336">
        <v>221.2</v>
      </c>
      <c r="F336">
        <v>164.1</v>
      </c>
      <c r="G336">
        <v>165.4</v>
      </c>
      <c r="H336">
        <v>189.5</v>
      </c>
      <c r="I336">
        <v>174.5</v>
      </c>
      <c r="J336">
        <v>203.2</v>
      </c>
      <c r="K336">
        <v>164.1</v>
      </c>
      <c r="L336">
        <v>121.2</v>
      </c>
      <c r="M336">
        <v>181.4</v>
      </c>
      <c r="N336">
        <v>158.5</v>
      </c>
      <c r="O336">
        <v>184.9</v>
      </c>
      <c r="P336">
        <v>177.5</v>
      </c>
      <c r="Q336">
        <v>197.5</v>
      </c>
      <c r="R336">
        <v>170</v>
      </c>
      <c r="S336">
        <v>155.9</v>
      </c>
      <c r="T336">
        <v>167.8</v>
      </c>
      <c r="U336">
        <v>167.5</v>
      </c>
      <c r="V336">
        <v>173.5</v>
      </c>
      <c r="W336">
        <v>161.1</v>
      </c>
      <c r="X336">
        <v>170.1</v>
      </c>
      <c r="Y336">
        <v>159.4</v>
      </c>
      <c r="Z336">
        <v>163.19999999999999</v>
      </c>
      <c r="AA336">
        <v>165.2</v>
      </c>
      <c r="AB336">
        <v>168.2</v>
      </c>
      <c r="AC336">
        <v>163.80000000000001</v>
      </c>
      <c r="AD336">
        <v>170.8</v>
      </c>
    </row>
    <row r="337" spans="1:30" x14ac:dyDescent="0.3">
      <c r="A337" t="s">
        <v>34</v>
      </c>
      <c r="B337">
        <v>2022</v>
      </c>
      <c r="C337" t="s">
        <v>38</v>
      </c>
      <c r="D337">
        <v>154.1</v>
      </c>
      <c r="E337">
        <v>217</v>
      </c>
      <c r="F337">
        <v>162.4</v>
      </c>
      <c r="G337">
        <v>164.9</v>
      </c>
      <c r="H337">
        <v>202.4</v>
      </c>
      <c r="I337">
        <v>171</v>
      </c>
      <c r="J337">
        <v>174.9</v>
      </c>
      <c r="K337">
        <v>164.7</v>
      </c>
      <c r="L337">
        <v>119.7</v>
      </c>
      <c r="M337">
        <v>184.9</v>
      </c>
      <c r="N337">
        <v>167.1</v>
      </c>
      <c r="O337">
        <v>182.5</v>
      </c>
      <c r="P337">
        <v>173.3</v>
      </c>
      <c r="Q337">
        <v>194.1</v>
      </c>
      <c r="R337">
        <v>175.6</v>
      </c>
      <c r="S337">
        <v>168.4</v>
      </c>
      <c r="T337">
        <v>174.6</v>
      </c>
      <c r="U337">
        <v>167.5</v>
      </c>
      <c r="V337">
        <v>174.6</v>
      </c>
      <c r="W337">
        <v>165.2</v>
      </c>
      <c r="X337">
        <v>174.8</v>
      </c>
      <c r="Y337">
        <v>163</v>
      </c>
      <c r="Z337">
        <v>165.1</v>
      </c>
      <c r="AA337">
        <v>167.9</v>
      </c>
      <c r="AB337">
        <v>168.4</v>
      </c>
      <c r="AC337">
        <v>167.5</v>
      </c>
      <c r="AD337">
        <v>171.7</v>
      </c>
    </row>
    <row r="338" spans="1:30" x14ac:dyDescent="0.3">
      <c r="A338" t="s">
        <v>30</v>
      </c>
      <c r="B338">
        <v>2022</v>
      </c>
      <c r="C338" t="s">
        <v>39</v>
      </c>
      <c r="D338">
        <v>153.80000000000001</v>
      </c>
      <c r="E338">
        <v>217.2</v>
      </c>
      <c r="F338">
        <v>169.6</v>
      </c>
      <c r="G338">
        <v>165.4</v>
      </c>
      <c r="H338">
        <v>208.1</v>
      </c>
      <c r="I338">
        <v>165.8</v>
      </c>
      <c r="J338">
        <v>167.3</v>
      </c>
      <c r="K338">
        <v>164.6</v>
      </c>
      <c r="L338">
        <v>119.1</v>
      </c>
      <c r="M338">
        <v>188.9</v>
      </c>
      <c r="N338">
        <v>174.2</v>
      </c>
      <c r="O338">
        <v>181.9</v>
      </c>
      <c r="P338">
        <v>172.4</v>
      </c>
      <c r="Q338">
        <v>192.9</v>
      </c>
      <c r="R338">
        <v>180.7</v>
      </c>
      <c r="S338">
        <v>178.7</v>
      </c>
      <c r="T338">
        <v>180.4</v>
      </c>
      <c r="U338" t="s">
        <v>32</v>
      </c>
      <c r="V338">
        <v>176.7</v>
      </c>
      <c r="W338">
        <v>170.3</v>
      </c>
      <c r="X338">
        <v>178.2</v>
      </c>
      <c r="Y338">
        <v>165.5</v>
      </c>
      <c r="Z338">
        <v>168</v>
      </c>
      <c r="AA338">
        <v>172.6</v>
      </c>
      <c r="AB338">
        <v>169.5</v>
      </c>
      <c r="AC338">
        <v>171</v>
      </c>
      <c r="AD338">
        <v>173.6</v>
      </c>
    </row>
    <row r="339" spans="1:30" x14ac:dyDescent="0.3">
      <c r="A339" t="s">
        <v>33</v>
      </c>
      <c r="B339">
        <v>2022</v>
      </c>
      <c r="C339" t="s">
        <v>39</v>
      </c>
      <c r="D339">
        <v>157.5</v>
      </c>
      <c r="E339">
        <v>223.4</v>
      </c>
      <c r="F339">
        <v>172.8</v>
      </c>
      <c r="G339">
        <v>166.4</v>
      </c>
      <c r="H339">
        <v>188.6</v>
      </c>
      <c r="I339">
        <v>174.1</v>
      </c>
      <c r="J339">
        <v>211.5</v>
      </c>
      <c r="K339">
        <v>163.6</v>
      </c>
      <c r="L339">
        <v>121.4</v>
      </c>
      <c r="M339">
        <v>183.5</v>
      </c>
      <c r="N339">
        <v>159.1</v>
      </c>
      <c r="O339">
        <v>186.3</v>
      </c>
      <c r="P339">
        <v>179.3</v>
      </c>
      <c r="Q339">
        <v>198.3</v>
      </c>
      <c r="R339">
        <v>171.6</v>
      </c>
      <c r="S339">
        <v>157.4</v>
      </c>
      <c r="T339">
        <v>169.4</v>
      </c>
      <c r="U339">
        <v>166.8</v>
      </c>
      <c r="V339">
        <v>174.9</v>
      </c>
      <c r="W339">
        <v>162.1</v>
      </c>
      <c r="X339">
        <v>170.9</v>
      </c>
      <c r="Y339">
        <v>157.19999999999999</v>
      </c>
      <c r="Z339">
        <v>164.1</v>
      </c>
      <c r="AA339">
        <v>166.5</v>
      </c>
      <c r="AB339">
        <v>169.2</v>
      </c>
      <c r="AC339">
        <v>163.80000000000001</v>
      </c>
      <c r="AD339">
        <v>171.4</v>
      </c>
    </row>
    <row r="340" spans="1:30" x14ac:dyDescent="0.3">
      <c r="A340" t="s">
        <v>34</v>
      </c>
      <c r="B340">
        <v>2022</v>
      </c>
      <c r="C340" t="s">
        <v>39</v>
      </c>
      <c r="D340">
        <v>155</v>
      </c>
      <c r="E340">
        <v>219.4</v>
      </c>
      <c r="F340">
        <v>170.8</v>
      </c>
      <c r="G340">
        <v>165.8</v>
      </c>
      <c r="H340">
        <v>200.9</v>
      </c>
      <c r="I340">
        <v>169.7</v>
      </c>
      <c r="J340">
        <v>182.3</v>
      </c>
      <c r="K340">
        <v>164.3</v>
      </c>
      <c r="L340">
        <v>119.9</v>
      </c>
      <c r="M340">
        <v>187.1</v>
      </c>
      <c r="N340">
        <v>167.9</v>
      </c>
      <c r="O340">
        <v>183.9</v>
      </c>
      <c r="P340">
        <v>174.9</v>
      </c>
      <c r="Q340">
        <v>194.3</v>
      </c>
      <c r="R340">
        <v>177.1</v>
      </c>
      <c r="S340">
        <v>169.9</v>
      </c>
      <c r="T340">
        <v>176</v>
      </c>
      <c r="U340">
        <v>166.8</v>
      </c>
      <c r="V340">
        <v>176</v>
      </c>
      <c r="W340">
        <v>166.4</v>
      </c>
      <c r="X340">
        <v>175.4</v>
      </c>
      <c r="Y340">
        <v>161.1</v>
      </c>
      <c r="Z340">
        <v>165.8</v>
      </c>
      <c r="AA340">
        <v>169</v>
      </c>
      <c r="AB340">
        <v>169.4</v>
      </c>
      <c r="AC340">
        <v>167.5</v>
      </c>
      <c r="AD340">
        <v>172.6</v>
      </c>
    </row>
    <row r="341" spans="1:30" x14ac:dyDescent="0.3">
      <c r="A341" t="s">
        <v>30</v>
      </c>
      <c r="B341">
        <v>2022</v>
      </c>
      <c r="C341" t="s">
        <v>40</v>
      </c>
      <c r="D341">
        <v>155.19999999999999</v>
      </c>
      <c r="E341">
        <v>210.8</v>
      </c>
      <c r="F341">
        <v>174.3</v>
      </c>
      <c r="G341">
        <v>166.3</v>
      </c>
      <c r="H341">
        <v>202.2</v>
      </c>
      <c r="I341">
        <v>169.6</v>
      </c>
      <c r="J341">
        <v>168.6</v>
      </c>
      <c r="K341">
        <v>164.4</v>
      </c>
      <c r="L341">
        <v>119.2</v>
      </c>
      <c r="M341">
        <v>191.8</v>
      </c>
      <c r="N341">
        <v>174.5</v>
      </c>
      <c r="O341">
        <v>183.1</v>
      </c>
      <c r="P341">
        <v>172.5</v>
      </c>
      <c r="Q341">
        <v>193.2</v>
      </c>
      <c r="R341">
        <v>182</v>
      </c>
      <c r="S341">
        <v>180.3</v>
      </c>
      <c r="T341">
        <v>181.7</v>
      </c>
      <c r="U341" t="s">
        <v>32</v>
      </c>
      <c r="V341">
        <v>179.6</v>
      </c>
      <c r="W341">
        <v>171.3</v>
      </c>
      <c r="X341">
        <v>178.8</v>
      </c>
      <c r="Y341">
        <v>166.3</v>
      </c>
      <c r="Z341">
        <v>168.6</v>
      </c>
      <c r="AA341">
        <v>174.7</v>
      </c>
      <c r="AB341">
        <v>169.7</v>
      </c>
      <c r="AC341">
        <v>171.8</v>
      </c>
      <c r="AD341">
        <v>174.3</v>
      </c>
    </row>
    <row r="342" spans="1:30" x14ac:dyDescent="0.3">
      <c r="A342" t="s">
        <v>33</v>
      </c>
      <c r="B342">
        <v>2022</v>
      </c>
      <c r="C342" t="s">
        <v>40</v>
      </c>
      <c r="D342">
        <v>159.30000000000001</v>
      </c>
      <c r="E342">
        <v>217.1</v>
      </c>
      <c r="F342">
        <v>176.6</v>
      </c>
      <c r="G342">
        <v>167.1</v>
      </c>
      <c r="H342">
        <v>184.8</v>
      </c>
      <c r="I342">
        <v>179.5</v>
      </c>
      <c r="J342">
        <v>208.5</v>
      </c>
      <c r="K342">
        <v>164</v>
      </c>
      <c r="L342">
        <v>121.5</v>
      </c>
      <c r="M342">
        <v>186.3</v>
      </c>
      <c r="N342">
        <v>159.80000000000001</v>
      </c>
      <c r="O342">
        <v>187.7</v>
      </c>
      <c r="P342">
        <v>179.4</v>
      </c>
      <c r="Q342">
        <v>198.6</v>
      </c>
      <c r="R342">
        <v>172.7</v>
      </c>
      <c r="S342">
        <v>158.69999999999999</v>
      </c>
      <c r="T342">
        <v>170.6</v>
      </c>
      <c r="U342">
        <v>167.8</v>
      </c>
      <c r="V342">
        <v>179.5</v>
      </c>
      <c r="W342">
        <v>163.1</v>
      </c>
      <c r="X342">
        <v>171.7</v>
      </c>
      <c r="Y342">
        <v>157.4</v>
      </c>
      <c r="Z342">
        <v>164.6</v>
      </c>
      <c r="AA342">
        <v>169.1</v>
      </c>
      <c r="AB342">
        <v>169.8</v>
      </c>
      <c r="AC342">
        <v>164.7</v>
      </c>
      <c r="AD342">
        <v>172.3</v>
      </c>
    </row>
    <row r="343" spans="1:30" x14ac:dyDescent="0.3">
      <c r="A343" t="s">
        <v>34</v>
      </c>
      <c r="B343">
        <v>2022</v>
      </c>
      <c r="C343" t="s">
        <v>40</v>
      </c>
      <c r="D343">
        <v>156.5</v>
      </c>
      <c r="E343">
        <v>213</v>
      </c>
      <c r="F343">
        <v>175.2</v>
      </c>
      <c r="G343">
        <v>166.6</v>
      </c>
      <c r="H343">
        <v>195.8</v>
      </c>
      <c r="I343">
        <v>174.2</v>
      </c>
      <c r="J343">
        <v>182.1</v>
      </c>
      <c r="K343">
        <v>164.3</v>
      </c>
      <c r="L343">
        <v>120</v>
      </c>
      <c r="M343">
        <v>190</v>
      </c>
      <c r="N343">
        <v>168.4</v>
      </c>
      <c r="O343">
        <v>185.2</v>
      </c>
      <c r="P343">
        <v>175</v>
      </c>
      <c r="Q343">
        <v>194.6</v>
      </c>
      <c r="R343">
        <v>178.3</v>
      </c>
      <c r="S343">
        <v>171.3</v>
      </c>
      <c r="T343">
        <v>177.3</v>
      </c>
      <c r="U343">
        <v>167.8</v>
      </c>
      <c r="V343">
        <v>179.6</v>
      </c>
      <c r="W343">
        <v>167.4</v>
      </c>
      <c r="X343">
        <v>176.1</v>
      </c>
      <c r="Y343">
        <v>161.6</v>
      </c>
      <c r="Z343">
        <v>166.3</v>
      </c>
      <c r="AA343">
        <v>171.4</v>
      </c>
      <c r="AB343">
        <v>169.7</v>
      </c>
      <c r="AC343">
        <v>168.4</v>
      </c>
      <c r="AD343">
        <v>173.4</v>
      </c>
    </row>
    <row r="344" spans="1:30" x14ac:dyDescent="0.3">
      <c r="A344" t="s">
        <v>30</v>
      </c>
      <c r="B344">
        <v>2022</v>
      </c>
      <c r="C344" t="s">
        <v>41</v>
      </c>
      <c r="D344">
        <v>159.5</v>
      </c>
      <c r="E344">
        <v>204.1</v>
      </c>
      <c r="F344">
        <v>168.3</v>
      </c>
      <c r="G344">
        <v>167.9</v>
      </c>
      <c r="H344">
        <v>198.1</v>
      </c>
      <c r="I344">
        <v>169.2</v>
      </c>
      <c r="J344">
        <v>173.1</v>
      </c>
      <c r="K344">
        <v>167.1</v>
      </c>
      <c r="L344">
        <v>120.2</v>
      </c>
      <c r="M344">
        <v>195.6</v>
      </c>
      <c r="N344">
        <v>174.8</v>
      </c>
      <c r="O344">
        <v>184</v>
      </c>
      <c r="P344">
        <v>173.9</v>
      </c>
      <c r="Q344">
        <v>193.7</v>
      </c>
      <c r="R344">
        <v>183.2</v>
      </c>
      <c r="S344">
        <v>181.7</v>
      </c>
      <c r="T344">
        <v>183</v>
      </c>
      <c r="U344" t="s">
        <v>32</v>
      </c>
      <c r="V344">
        <v>179.1</v>
      </c>
      <c r="W344">
        <v>172.3</v>
      </c>
      <c r="X344">
        <v>179.4</v>
      </c>
      <c r="Y344">
        <v>166.6</v>
      </c>
      <c r="Z344">
        <v>169.3</v>
      </c>
      <c r="AA344">
        <v>175.7</v>
      </c>
      <c r="AB344">
        <v>171.1</v>
      </c>
      <c r="AC344">
        <v>172.6</v>
      </c>
      <c r="AD344">
        <v>175.3</v>
      </c>
    </row>
    <row r="345" spans="1:30" x14ac:dyDescent="0.3">
      <c r="A345" t="s">
        <v>33</v>
      </c>
      <c r="B345">
        <v>2022</v>
      </c>
      <c r="C345" t="s">
        <v>41</v>
      </c>
      <c r="D345">
        <v>162.1</v>
      </c>
      <c r="E345">
        <v>210.9</v>
      </c>
      <c r="F345">
        <v>170.6</v>
      </c>
      <c r="G345">
        <v>168.4</v>
      </c>
      <c r="H345">
        <v>182.5</v>
      </c>
      <c r="I345">
        <v>177.1</v>
      </c>
      <c r="J345">
        <v>213.1</v>
      </c>
      <c r="K345">
        <v>167.3</v>
      </c>
      <c r="L345">
        <v>122.2</v>
      </c>
      <c r="M345">
        <v>189.7</v>
      </c>
      <c r="N345">
        <v>160.5</v>
      </c>
      <c r="O345">
        <v>188.9</v>
      </c>
      <c r="P345">
        <v>180.4</v>
      </c>
      <c r="Q345">
        <v>198.7</v>
      </c>
      <c r="R345">
        <v>173.7</v>
      </c>
      <c r="S345">
        <v>160</v>
      </c>
      <c r="T345">
        <v>171.6</v>
      </c>
      <c r="U345">
        <v>169</v>
      </c>
      <c r="V345">
        <v>178.4</v>
      </c>
      <c r="W345">
        <v>164.2</v>
      </c>
      <c r="X345">
        <v>172.6</v>
      </c>
      <c r="Y345">
        <v>157.69999999999999</v>
      </c>
      <c r="Z345">
        <v>165.1</v>
      </c>
      <c r="AA345">
        <v>169.9</v>
      </c>
      <c r="AB345">
        <v>171.4</v>
      </c>
      <c r="AC345">
        <v>165.4</v>
      </c>
      <c r="AD345">
        <v>173.1</v>
      </c>
    </row>
    <row r="346" spans="1:30" x14ac:dyDescent="0.3">
      <c r="A346" t="s">
        <v>34</v>
      </c>
      <c r="B346">
        <v>2022</v>
      </c>
      <c r="C346" t="s">
        <v>41</v>
      </c>
      <c r="D346">
        <v>160.30000000000001</v>
      </c>
      <c r="E346">
        <v>206.5</v>
      </c>
      <c r="F346">
        <v>169.2</v>
      </c>
      <c r="G346">
        <v>168.1</v>
      </c>
      <c r="H346">
        <v>192.4</v>
      </c>
      <c r="I346">
        <v>172.9</v>
      </c>
      <c r="J346">
        <v>186.7</v>
      </c>
      <c r="K346">
        <v>167.2</v>
      </c>
      <c r="L346">
        <v>120.9</v>
      </c>
      <c r="M346">
        <v>193.6</v>
      </c>
      <c r="N346">
        <v>168.8</v>
      </c>
      <c r="O346">
        <v>186.3</v>
      </c>
      <c r="P346">
        <v>176.3</v>
      </c>
      <c r="Q346">
        <v>195</v>
      </c>
      <c r="R346">
        <v>179.5</v>
      </c>
      <c r="S346">
        <v>172.7</v>
      </c>
      <c r="T346">
        <v>178.5</v>
      </c>
      <c r="U346">
        <v>169</v>
      </c>
      <c r="V346">
        <v>178.8</v>
      </c>
      <c r="W346">
        <v>168.5</v>
      </c>
      <c r="X346">
        <v>176.8</v>
      </c>
      <c r="Y346">
        <v>161.9</v>
      </c>
      <c r="Z346">
        <v>166.9</v>
      </c>
      <c r="AA346">
        <v>172.3</v>
      </c>
      <c r="AB346">
        <v>171.2</v>
      </c>
      <c r="AC346">
        <v>169.1</v>
      </c>
      <c r="AD346">
        <v>174.3</v>
      </c>
    </row>
    <row r="347" spans="1:30" x14ac:dyDescent="0.3">
      <c r="A347" t="s">
        <v>30</v>
      </c>
      <c r="B347">
        <v>2022</v>
      </c>
      <c r="C347" t="s">
        <v>42</v>
      </c>
      <c r="D347">
        <v>162.9</v>
      </c>
      <c r="E347">
        <v>206.7</v>
      </c>
      <c r="F347">
        <v>169</v>
      </c>
      <c r="G347">
        <v>169.5</v>
      </c>
      <c r="H347">
        <v>194.1</v>
      </c>
      <c r="I347">
        <v>164.1</v>
      </c>
      <c r="J347">
        <v>176.9</v>
      </c>
      <c r="K347">
        <v>169</v>
      </c>
      <c r="L347">
        <v>120.8</v>
      </c>
      <c r="M347">
        <v>199.1</v>
      </c>
      <c r="N347">
        <v>175.4</v>
      </c>
      <c r="O347">
        <v>184.8</v>
      </c>
      <c r="P347">
        <v>175.5</v>
      </c>
      <c r="Q347">
        <v>194.5</v>
      </c>
      <c r="R347">
        <v>184.7</v>
      </c>
      <c r="S347">
        <v>183.3</v>
      </c>
      <c r="T347">
        <v>184.5</v>
      </c>
      <c r="U347" t="s">
        <v>32</v>
      </c>
      <c r="V347">
        <v>179.7</v>
      </c>
      <c r="W347">
        <v>173.6</v>
      </c>
      <c r="X347">
        <v>180.2</v>
      </c>
      <c r="Y347">
        <v>166.9</v>
      </c>
      <c r="Z347">
        <v>170</v>
      </c>
      <c r="AA347">
        <v>176.2</v>
      </c>
      <c r="AB347">
        <v>170.8</v>
      </c>
      <c r="AC347">
        <v>173.1</v>
      </c>
      <c r="AD347">
        <v>176.4</v>
      </c>
    </row>
    <row r="348" spans="1:30" x14ac:dyDescent="0.3">
      <c r="A348" t="s">
        <v>33</v>
      </c>
      <c r="B348">
        <v>2022</v>
      </c>
      <c r="C348" t="s">
        <v>42</v>
      </c>
      <c r="D348">
        <v>164.9</v>
      </c>
      <c r="E348">
        <v>213.7</v>
      </c>
      <c r="F348">
        <v>170.9</v>
      </c>
      <c r="G348">
        <v>170.1</v>
      </c>
      <c r="H348">
        <v>179.3</v>
      </c>
      <c r="I348">
        <v>167.5</v>
      </c>
      <c r="J348">
        <v>220.8</v>
      </c>
      <c r="K348">
        <v>169.2</v>
      </c>
      <c r="L348">
        <v>123.1</v>
      </c>
      <c r="M348">
        <v>193.6</v>
      </c>
      <c r="N348">
        <v>161.1</v>
      </c>
      <c r="O348">
        <v>190.4</v>
      </c>
      <c r="P348">
        <v>181.8</v>
      </c>
      <c r="Q348">
        <v>199.7</v>
      </c>
      <c r="R348">
        <v>175</v>
      </c>
      <c r="S348">
        <v>161.69999999999999</v>
      </c>
      <c r="T348">
        <v>173</v>
      </c>
      <c r="U348">
        <v>169.5</v>
      </c>
      <c r="V348">
        <v>179.2</v>
      </c>
      <c r="W348">
        <v>165</v>
      </c>
      <c r="X348">
        <v>173.8</v>
      </c>
      <c r="Y348">
        <v>158.19999999999999</v>
      </c>
      <c r="Z348">
        <v>165.8</v>
      </c>
      <c r="AA348">
        <v>170.9</v>
      </c>
      <c r="AB348">
        <v>171.1</v>
      </c>
      <c r="AC348">
        <v>166.1</v>
      </c>
      <c r="AD348">
        <v>174.1</v>
      </c>
    </row>
    <row r="349" spans="1:30" x14ac:dyDescent="0.3">
      <c r="A349" t="s">
        <v>34</v>
      </c>
      <c r="B349">
        <v>2022</v>
      </c>
      <c r="C349" t="s">
        <v>42</v>
      </c>
      <c r="D349">
        <v>163.5</v>
      </c>
      <c r="E349">
        <v>209.2</v>
      </c>
      <c r="F349">
        <v>169.7</v>
      </c>
      <c r="G349">
        <v>169.7</v>
      </c>
      <c r="H349">
        <v>188.7</v>
      </c>
      <c r="I349">
        <v>165.7</v>
      </c>
      <c r="J349">
        <v>191.8</v>
      </c>
      <c r="K349">
        <v>169.1</v>
      </c>
      <c r="L349">
        <v>121.6</v>
      </c>
      <c r="M349">
        <v>197.3</v>
      </c>
      <c r="N349">
        <v>169.4</v>
      </c>
      <c r="O349">
        <v>187.4</v>
      </c>
      <c r="P349">
        <v>177.8</v>
      </c>
      <c r="Q349">
        <v>195.9</v>
      </c>
      <c r="R349">
        <v>180.9</v>
      </c>
      <c r="S349">
        <v>174.3</v>
      </c>
      <c r="T349">
        <v>179.9</v>
      </c>
      <c r="U349">
        <v>169.5</v>
      </c>
      <c r="V349">
        <v>179.5</v>
      </c>
      <c r="W349">
        <v>169.5</v>
      </c>
      <c r="X349">
        <v>177.8</v>
      </c>
      <c r="Y349">
        <v>162.30000000000001</v>
      </c>
      <c r="Z349">
        <v>167.6</v>
      </c>
      <c r="AA349">
        <v>173.1</v>
      </c>
      <c r="AB349">
        <v>170.9</v>
      </c>
      <c r="AC349">
        <v>169.7</v>
      </c>
      <c r="AD349">
        <v>175.3</v>
      </c>
    </row>
    <row r="350" spans="1:30" x14ac:dyDescent="0.3">
      <c r="A350" t="s">
        <v>30</v>
      </c>
      <c r="B350">
        <v>2022</v>
      </c>
      <c r="C350" t="s">
        <v>43</v>
      </c>
      <c r="D350">
        <v>164.7</v>
      </c>
      <c r="E350">
        <v>208.8</v>
      </c>
      <c r="F350">
        <v>170.3</v>
      </c>
      <c r="G350">
        <v>170.9</v>
      </c>
      <c r="H350">
        <v>191.6</v>
      </c>
      <c r="I350">
        <v>162.19999999999999</v>
      </c>
      <c r="J350">
        <v>184.8</v>
      </c>
      <c r="K350">
        <v>169.7</v>
      </c>
      <c r="L350">
        <v>121.1</v>
      </c>
      <c r="M350">
        <v>201.6</v>
      </c>
      <c r="N350">
        <v>175.8</v>
      </c>
      <c r="O350">
        <v>185.6</v>
      </c>
      <c r="P350">
        <v>177.4</v>
      </c>
      <c r="Q350">
        <v>194.9</v>
      </c>
      <c r="R350">
        <v>186.1</v>
      </c>
      <c r="S350">
        <v>184.4</v>
      </c>
      <c r="T350">
        <v>185.9</v>
      </c>
      <c r="U350" t="s">
        <v>32</v>
      </c>
      <c r="V350">
        <v>180.8</v>
      </c>
      <c r="W350">
        <v>174.4</v>
      </c>
      <c r="X350">
        <v>181.2</v>
      </c>
      <c r="Y350">
        <v>167.4</v>
      </c>
      <c r="Z350">
        <v>170.6</v>
      </c>
      <c r="AA350">
        <v>176.5</v>
      </c>
      <c r="AB350">
        <v>172</v>
      </c>
      <c r="AC350">
        <v>173.9</v>
      </c>
      <c r="AD350">
        <v>177.9</v>
      </c>
    </row>
    <row r="351" spans="1:30" x14ac:dyDescent="0.3">
      <c r="A351" t="s">
        <v>33</v>
      </c>
      <c r="B351">
        <v>2022</v>
      </c>
      <c r="C351" t="s">
        <v>43</v>
      </c>
      <c r="D351">
        <v>166.4</v>
      </c>
      <c r="E351">
        <v>214.9</v>
      </c>
      <c r="F351">
        <v>171.9</v>
      </c>
      <c r="G351">
        <v>171</v>
      </c>
      <c r="H351">
        <v>177.7</v>
      </c>
      <c r="I351">
        <v>165.7</v>
      </c>
      <c r="J351">
        <v>228.6</v>
      </c>
      <c r="K351">
        <v>169.9</v>
      </c>
      <c r="L351">
        <v>123.4</v>
      </c>
      <c r="M351">
        <v>196.4</v>
      </c>
      <c r="N351">
        <v>161.6</v>
      </c>
      <c r="O351">
        <v>191.5</v>
      </c>
      <c r="P351">
        <v>183.3</v>
      </c>
      <c r="Q351">
        <v>200.1</v>
      </c>
      <c r="R351">
        <v>175.5</v>
      </c>
      <c r="S351">
        <v>162.6</v>
      </c>
      <c r="T351">
        <v>173.6</v>
      </c>
      <c r="U351">
        <v>171.2</v>
      </c>
      <c r="V351">
        <v>180</v>
      </c>
      <c r="W351">
        <v>166</v>
      </c>
      <c r="X351">
        <v>174.7</v>
      </c>
      <c r="Y351">
        <v>158.80000000000001</v>
      </c>
      <c r="Z351">
        <v>166.3</v>
      </c>
      <c r="AA351">
        <v>171.2</v>
      </c>
      <c r="AB351">
        <v>172.3</v>
      </c>
      <c r="AC351">
        <v>166.8</v>
      </c>
      <c r="AD351">
        <v>175.3</v>
      </c>
    </row>
    <row r="352" spans="1:30" x14ac:dyDescent="0.3">
      <c r="A352" t="s">
        <v>34</v>
      </c>
      <c r="B352">
        <v>2022</v>
      </c>
      <c r="C352" t="s">
        <v>43</v>
      </c>
      <c r="D352">
        <v>165.2</v>
      </c>
      <c r="E352">
        <v>210.9</v>
      </c>
      <c r="F352">
        <v>170.9</v>
      </c>
      <c r="G352">
        <v>170.9</v>
      </c>
      <c r="H352">
        <v>186.5</v>
      </c>
      <c r="I352">
        <v>163.80000000000001</v>
      </c>
      <c r="J352">
        <v>199.7</v>
      </c>
      <c r="K352">
        <v>169.8</v>
      </c>
      <c r="L352">
        <v>121.9</v>
      </c>
      <c r="M352">
        <v>199.9</v>
      </c>
      <c r="N352">
        <v>169.9</v>
      </c>
      <c r="O352">
        <v>188.3</v>
      </c>
      <c r="P352">
        <v>179.6</v>
      </c>
      <c r="Q352">
        <v>196.3</v>
      </c>
      <c r="R352">
        <v>181.9</v>
      </c>
      <c r="S352">
        <v>175.3</v>
      </c>
      <c r="T352">
        <v>181</v>
      </c>
      <c r="U352">
        <v>171.2</v>
      </c>
      <c r="V352">
        <v>180.5</v>
      </c>
      <c r="W352">
        <v>170.4</v>
      </c>
      <c r="X352">
        <v>178.7</v>
      </c>
      <c r="Y352">
        <v>162.9</v>
      </c>
      <c r="Z352">
        <v>168.2</v>
      </c>
      <c r="AA352">
        <v>173.4</v>
      </c>
      <c r="AB352">
        <v>172.1</v>
      </c>
      <c r="AC352">
        <v>170.5</v>
      </c>
      <c r="AD352">
        <v>176.7</v>
      </c>
    </row>
    <row r="353" spans="1:30" x14ac:dyDescent="0.3">
      <c r="A353" t="s">
        <v>30</v>
      </c>
      <c r="B353">
        <v>2022</v>
      </c>
      <c r="C353" t="s">
        <v>45</v>
      </c>
      <c r="D353">
        <v>166.9</v>
      </c>
      <c r="E353">
        <v>207.2</v>
      </c>
      <c r="F353">
        <v>180.2</v>
      </c>
      <c r="G353">
        <v>172.3</v>
      </c>
      <c r="H353">
        <v>194</v>
      </c>
      <c r="I353">
        <v>159.1</v>
      </c>
      <c r="J353">
        <v>171.6</v>
      </c>
      <c r="K353">
        <v>170.2</v>
      </c>
      <c r="L353">
        <v>121.5</v>
      </c>
      <c r="M353">
        <v>204.8</v>
      </c>
      <c r="N353">
        <v>176.4</v>
      </c>
      <c r="O353">
        <v>186.9</v>
      </c>
      <c r="P353">
        <v>176.6</v>
      </c>
      <c r="Q353">
        <v>195.5</v>
      </c>
      <c r="R353">
        <v>187.2</v>
      </c>
      <c r="S353">
        <v>185.2</v>
      </c>
      <c r="T353">
        <v>186.9</v>
      </c>
      <c r="U353" t="s">
        <v>32</v>
      </c>
      <c r="V353">
        <v>181.9</v>
      </c>
      <c r="W353">
        <v>175.5</v>
      </c>
      <c r="X353">
        <v>182.3</v>
      </c>
      <c r="Y353">
        <v>167.5</v>
      </c>
      <c r="Z353">
        <v>170.8</v>
      </c>
      <c r="AA353">
        <v>176.9</v>
      </c>
      <c r="AB353">
        <v>173.4</v>
      </c>
      <c r="AC353">
        <v>174.6</v>
      </c>
      <c r="AD353">
        <v>177.8</v>
      </c>
    </row>
    <row r="354" spans="1:30" x14ac:dyDescent="0.3">
      <c r="A354" t="s">
        <v>33</v>
      </c>
      <c r="B354">
        <v>2022</v>
      </c>
      <c r="C354" t="s">
        <v>45</v>
      </c>
      <c r="D354">
        <v>168.4</v>
      </c>
      <c r="E354">
        <v>213.4</v>
      </c>
      <c r="F354">
        <v>183.2</v>
      </c>
      <c r="G354">
        <v>172.3</v>
      </c>
      <c r="H354">
        <v>180</v>
      </c>
      <c r="I354">
        <v>162.6</v>
      </c>
      <c r="J354">
        <v>205.5</v>
      </c>
      <c r="K354">
        <v>171</v>
      </c>
      <c r="L354">
        <v>123.4</v>
      </c>
      <c r="M354">
        <v>198.8</v>
      </c>
      <c r="N354">
        <v>162.1</v>
      </c>
      <c r="O354">
        <v>192.4</v>
      </c>
      <c r="P354">
        <v>181.3</v>
      </c>
      <c r="Q354">
        <v>200.6</v>
      </c>
      <c r="R354">
        <v>176.7</v>
      </c>
      <c r="S354">
        <v>163.5</v>
      </c>
      <c r="T354">
        <v>174.7</v>
      </c>
      <c r="U354">
        <v>171.8</v>
      </c>
      <c r="V354">
        <v>180.3</v>
      </c>
      <c r="W354">
        <v>166.9</v>
      </c>
      <c r="X354">
        <v>175.8</v>
      </c>
      <c r="Y354">
        <v>158.9</v>
      </c>
      <c r="Z354">
        <v>166.7</v>
      </c>
      <c r="AA354">
        <v>171.5</v>
      </c>
      <c r="AB354">
        <v>173.8</v>
      </c>
      <c r="AC354">
        <v>167.4</v>
      </c>
      <c r="AD354">
        <v>174.1</v>
      </c>
    </row>
    <row r="355" spans="1:30" x14ac:dyDescent="0.3">
      <c r="A355" t="s">
        <v>34</v>
      </c>
      <c r="B355">
        <v>2022</v>
      </c>
      <c r="C355" t="s">
        <v>45</v>
      </c>
      <c r="D355">
        <v>167.4</v>
      </c>
      <c r="E355">
        <v>209.4</v>
      </c>
      <c r="F355">
        <v>181.4</v>
      </c>
      <c r="G355">
        <v>172.3</v>
      </c>
      <c r="H355">
        <v>188.9</v>
      </c>
      <c r="I355">
        <v>160.69999999999999</v>
      </c>
      <c r="J355">
        <v>183.1</v>
      </c>
      <c r="K355">
        <v>170.5</v>
      </c>
      <c r="L355">
        <v>122.1</v>
      </c>
      <c r="M355">
        <v>202.8</v>
      </c>
      <c r="N355">
        <v>170.4</v>
      </c>
      <c r="O355">
        <v>189.5</v>
      </c>
      <c r="P355">
        <v>178.3</v>
      </c>
      <c r="Q355">
        <v>196.9</v>
      </c>
      <c r="R355">
        <v>183.1</v>
      </c>
      <c r="S355">
        <v>176.2</v>
      </c>
      <c r="T355">
        <v>182.1</v>
      </c>
      <c r="U355">
        <v>171.8</v>
      </c>
      <c r="V355">
        <v>181.3</v>
      </c>
      <c r="W355">
        <v>171.4</v>
      </c>
      <c r="X355">
        <v>179.8</v>
      </c>
      <c r="Y355">
        <v>163</v>
      </c>
      <c r="Z355">
        <v>168.5</v>
      </c>
      <c r="AA355">
        <v>173.7</v>
      </c>
      <c r="AB355">
        <v>173.6</v>
      </c>
      <c r="AC355">
        <v>171.1</v>
      </c>
      <c r="AD355">
        <v>176.5</v>
      </c>
    </row>
    <row r="356" spans="1:30" x14ac:dyDescent="0.3">
      <c r="A356" t="s">
        <v>30</v>
      </c>
      <c r="B356">
        <v>2022</v>
      </c>
      <c r="C356" t="s">
        <v>46</v>
      </c>
      <c r="D356">
        <v>168.8</v>
      </c>
      <c r="E356">
        <v>206.9</v>
      </c>
      <c r="F356">
        <v>189.1</v>
      </c>
      <c r="G356">
        <v>173.4</v>
      </c>
      <c r="H356">
        <v>193.9</v>
      </c>
      <c r="I356">
        <v>156.69999999999999</v>
      </c>
      <c r="J356">
        <v>150.19999999999999</v>
      </c>
      <c r="K356">
        <v>170.5</v>
      </c>
      <c r="L356">
        <v>121.2</v>
      </c>
      <c r="M356">
        <v>207.5</v>
      </c>
      <c r="N356">
        <v>176.8</v>
      </c>
      <c r="O356">
        <v>187.7</v>
      </c>
      <c r="P356">
        <v>174.4</v>
      </c>
      <c r="Q356">
        <v>195.9</v>
      </c>
      <c r="R356">
        <v>188.1</v>
      </c>
      <c r="S356">
        <v>185.9</v>
      </c>
      <c r="T356">
        <v>187.8</v>
      </c>
      <c r="U356" t="s">
        <v>32</v>
      </c>
      <c r="V356">
        <v>182.8</v>
      </c>
      <c r="W356">
        <v>176.4</v>
      </c>
      <c r="X356">
        <v>183.5</v>
      </c>
      <c r="Y356">
        <v>167.8</v>
      </c>
      <c r="Z356">
        <v>171.2</v>
      </c>
      <c r="AA356">
        <v>177.3</v>
      </c>
      <c r="AB356">
        <v>175.7</v>
      </c>
      <c r="AC356">
        <v>175.5</v>
      </c>
      <c r="AD356">
        <v>177.1</v>
      </c>
    </row>
    <row r="357" spans="1:30" x14ac:dyDescent="0.3">
      <c r="A357" t="s">
        <v>33</v>
      </c>
      <c r="B357">
        <v>2022</v>
      </c>
      <c r="C357" t="s">
        <v>46</v>
      </c>
      <c r="D357">
        <v>170.2</v>
      </c>
      <c r="E357">
        <v>212.9</v>
      </c>
      <c r="F357">
        <v>191.9</v>
      </c>
      <c r="G357">
        <v>173.9</v>
      </c>
      <c r="H357">
        <v>179.1</v>
      </c>
      <c r="I357">
        <v>159.5</v>
      </c>
      <c r="J357">
        <v>178.7</v>
      </c>
      <c r="K357">
        <v>171.3</v>
      </c>
      <c r="L357">
        <v>123.1</v>
      </c>
      <c r="M357">
        <v>200.5</v>
      </c>
      <c r="N357">
        <v>162.80000000000001</v>
      </c>
      <c r="O357">
        <v>193.3</v>
      </c>
      <c r="P357">
        <v>178.6</v>
      </c>
      <c r="Q357">
        <v>201.1</v>
      </c>
      <c r="R357">
        <v>177.7</v>
      </c>
      <c r="S357">
        <v>164.5</v>
      </c>
      <c r="T357">
        <v>175.7</v>
      </c>
      <c r="U357">
        <v>170.7</v>
      </c>
      <c r="V357">
        <v>180.6</v>
      </c>
      <c r="W357">
        <v>167.3</v>
      </c>
      <c r="X357">
        <v>177.2</v>
      </c>
      <c r="Y357">
        <v>159.4</v>
      </c>
      <c r="Z357">
        <v>167.1</v>
      </c>
      <c r="AA357">
        <v>171.8</v>
      </c>
      <c r="AB357">
        <v>176</v>
      </c>
      <c r="AC357">
        <v>168.2</v>
      </c>
      <c r="AD357">
        <v>174.1</v>
      </c>
    </row>
    <row r="358" spans="1:30" x14ac:dyDescent="0.3">
      <c r="A358" t="s">
        <v>34</v>
      </c>
      <c r="B358">
        <v>2022</v>
      </c>
      <c r="C358" t="s">
        <v>46</v>
      </c>
      <c r="D358">
        <v>169.2</v>
      </c>
      <c r="E358">
        <v>209</v>
      </c>
      <c r="F358">
        <v>190.2</v>
      </c>
      <c r="G358">
        <v>173.6</v>
      </c>
      <c r="H358">
        <v>188.5</v>
      </c>
      <c r="I358">
        <v>158</v>
      </c>
      <c r="J358">
        <v>159.9</v>
      </c>
      <c r="K358">
        <v>170.8</v>
      </c>
      <c r="L358">
        <v>121.8</v>
      </c>
      <c r="M358">
        <v>205.2</v>
      </c>
      <c r="N358">
        <v>171</v>
      </c>
      <c r="O358">
        <v>190.3</v>
      </c>
      <c r="P358">
        <v>175.9</v>
      </c>
      <c r="Q358">
        <v>197.3</v>
      </c>
      <c r="R358">
        <v>184</v>
      </c>
      <c r="S358">
        <v>177</v>
      </c>
      <c r="T358">
        <v>183</v>
      </c>
      <c r="U358">
        <v>170.7</v>
      </c>
      <c r="V358">
        <v>182</v>
      </c>
      <c r="W358">
        <v>172.1</v>
      </c>
      <c r="X358">
        <v>181.1</v>
      </c>
      <c r="Y358">
        <v>163.4</v>
      </c>
      <c r="Z358">
        <v>168.9</v>
      </c>
      <c r="AA358">
        <v>174.1</v>
      </c>
      <c r="AB358">
        <v>175.8</v>
      </c>
      <c r="AC358">
        <v>172</v>
      </c>
      <c r="AD358">
        <v>175.7</v>
      </c>
    </row>
    <row r="359" spans="1:30" x14ac:dyDescent="0.3">
      <c r="A359" t="s">
        <v>30</v>
      </c>
      <c r="B359">
        <v>2023</v>
      </c>
      <c r="C359" t="s">
        <v>31</v>
      </c>
      <c r="D359">
        <v>174</v>
      </c>
      <c r="E359">
        <v>208.3</v>
      </c>
      <c r="F359">
        <v>192.9</v>
      </c>
      <c r="G359">
        <v>174.3</v>
      </c>
      <c r="H359">
        <v>192.6</v>
      </c>
      <c r="I359">
        <v>156.30000000000001</v>
      </c>
      <c r="J359">
        <v>142.9</v>
      </c>
      <c r="K359">
        <v>170.7</v>
      </c>
      <c r="L359">
        <v>120.3</v>
      </c>
      <c r="M359">
        <v>210.5</v>
      </c>
      <c r="N359">
        <v>176.9</v>
      </c>
      <c r="O359">
        <v>188.5</v>
      </c>
      <c r="P359">
        <v>175</v>
      </c>
      <c r="Q359">
        <v>196.9</v>
      </c>
      <c r="R359">
        <v>189</v>
      </c>
      <c r="S359">
        <v>186.3</v>
      </c>
      <c r="T359">
        <v>188.6</v>
      </c>
      <c r="U359" t="s">
        <v>32</v>
      </c>
      <c r="V359">
        <v>183.2</v>
      </c>
      <c r="W359">
        <v>177.2</v>
      </c>
      <c r="X359">
        <v>184.7</v>
      </c>
      <c r="Y359">
        <v>168.2</v>
      </c>
      <c r="Z359">
        <v>171.8</v>
      </c>
      <c r="AA359">
        <v>177.8</v>
      </c>
      <c r="AB359">
        <v>178.4</v>
      </c>
      <c r="AC359">
        <v>176.5</v>
      </c>
      <c r="AD359">
        <v>177.8</v>
      </c>
    </row>
    <row r="360" spans="1:30" x14ac:dyDescent="0.3">
      <c r="A360" t="s">
        <v>33</v>
      </c>
      <c r="B360">
        <v>2023</v>
      </c>
      <c r="C360" t="s">
        <v>31</v>
      </c>
      <c r="D360">
        <v>173.3</v>
      </c>
      <c r="E360">
        <v>215.2</v>
      </c>
      <c r="F360">
        <v>197</v>
      </c>
      <c r="G360">
        <v>175.2</v>
      </c>
      <c r="H360">
        <v>178</v>
      </c>
      <c r="I360">
        <v>160.5</v>
      </c>
      <c r="J360">
        <v>175.3</v>
      </c>
      <c r="K360">
        <v>171.2</v>
      </c>
      <c r="L360">
        <v>122.7</v>
      </c>
      <c r="M360">
        <v>204.3</v>
      </c>
      <c r="N360">
        <v>163.69999999999999</v>
      </c>
      <c r="O360">
        <v>194.3</v>
      </c>
      <c r="P360">
        <v>179.5</v>
      </c>
      <c r="Q360">
        <v>201.6</v>
      </c>
      <c r="R360">
        <v>178.7</v>
      </c>
      <c r="S360">
        <v>165.3</v>
      </c>
      <c r="T360">
        <v>176.6</v>
      </c>
      <c r="U360">
        <v>172.1</v>
      </c>
      <c r="V360">
        <v>180.1</v>
      </c>
      <c r="W360">
        <v>168</v>
      </c>
      <c r="X360">
        <v>178.5</v>
      </c>
      <c r="Y360">
        <v>159.5</v>
      </c>
      <c r="Z360">
        <v>167.8</v>
      </c>
      <c r="AA360">
        <v>171.8</v>
      </c>
      <c r="AB360">
        <v>178.8</v>
      </c>
      <c r="AC360">
        <v>168.9</v>
      </c>
      <c r="AD360">
        <v>174.9</v>
      </c>
    </row>
    <row r="361" spans="1:30" x14ac:dyDescent="0.3">
      <c r="A361" t="s">
        <v>34</v>
      </c>
      <c r="B361">
        <v>2023</v>
      </c>
      <c r="C361" t="s">
        <v>31</v>
      </c>
      <c r="D361">
        <v>173.8</v>
      </c>
      <c r="E361">
        <v>210.7</v>
      </c>
      <c r="F361">
        <v>194.5</v>
      </c>
      <c r="G361">
        <v>174.6</v>
      </c>
      <c r="H361">
        <v>187.2</v>
      </c>
      <c r="I361">
        <v>158.30000000000001</v>
      </c>
      <c r="J361">
        <v>153.9</v>
      </c>
      <c r="K361">
        <v>170.9</v>
      </c>
      <c r="L361">
        <v>121.1</v>
      </c>
      <c r="M361">
        <v>208.4</v>
      </c>
      <c r="N361">
        <v>171.4</v>
      </c>
      <c r="O361">
        <v>191.2</v>
      </c>
      <c r="P361">
        <v>176.7</v>
      </c>
      <c r="Q361">
        <v>198.2</v>
      </c>
      <c r="R361">
        <v>184.9</v>
      </c>
      <c r="S361">
        <v>177.6</v>
      </c>
      <c r="T361">
        <v>183.8</v>
      </c>
      <c r="U361">
        <v>172.1</v>
      </c>
      <c r="V361">
        <v>182</v>
      </c>
      <c r="W361">
        <v>172.9</v>
      </c>
      <c r="X361">
        <v>182.3</v>
      </c>
      <c r="Y361">
        <v>163.6</v>
      </c>
      <c r="Z361">
        <v>169.5</v>
      </c>
      <c r="AA361">
        <v>174.3</v>
      </c>
      <c r="AB361">
        <v>178.6</v>
      </c>
      <c r="AC361">
        <v>172.8</v>
      </c>
      <c r="AD361">
        <v>176.5</v>
      </c>
    </row>
    <row r="362" spans="1:30" x14ac:dyDescent="0.3">
      <c r="A362" t="s">
        <v>30</v>
      </c>
      <c r="B362">
        <v>2023</v>
      </c>
      <c r="C362" t="s">
        <v>35</v>
      </c>
      <c r="D362">
        <v>174.2</v>
      </c>
      <c r="E362">
        <v>205.2</v>
      </c>
      <c r="F362">
        <v>173.9</v>
      </c>
      <c r="G362">
        <v>177</v>
      </c>
      <c r="H362">
        <v>183.4</v>
      </c>
      <c r="I362">
        <v>167.2</v>
      </c>
      <c r="J362">
        <v>140.9</v>
      </c>
      <c r="K362">
        <v>170.4</v>
      </c>
      <c r="L362">
        <v>119.1</v>
      </c>
      <c r="M362">
        <v>212.1</v>
      </c>
      <c r="N362">
        <v>177.6</v>
      </c>
      <c r="O362">
        <v>189.9</v>
      </c>
      <c r="P362">
        <v>174.8</v>
      </c>
      <c r="Q362">
        <v>198.3</v>
      </c>
      <c r="R362">
        <v>190</v>
      </c>
      <c r="S362">
        <v>187</v>
      </c>
      <c r="T362">
        <v>189.6</v>
      </c>
      <c r="U362" t="s">
        <v>32</v>
      </c>
      <c r="V362">
        <v>181.6</v>
      </c>
      <c r="W362">
        <v>178.6</v>
      </c>
      <c r="X362">
        <v>186.6</v>
      </c>
      <c r="Y362">
        <v>169</v>
      </c>
      <c r="Z362">
        <v>172.8</v>
      </c>
      <c r="AA362">
        <v>178.5</v>
      </c>
      <c r="AB362">
        <v>180.7</v>
      </c>
      <c r="AC362">
        <v>177.9</v>
      </c>
      <c r="AD362">
        <v>178</v>
      </c>
    </row>
    <row r="363" spans="1:30" x14ac:dyDescent="0.3">
      <c r="A363" t="s">
        <v>33</v>
      </c>
      <c r="B363">
        <v>2023</v>
      </c>
      <c r="C363" t="s">
        <v>35</v>
      </c>
      <c r="D363">
        <v>174.7</v>
      </c>
      <c r="E363">
        <v>212.2</v>
      </c>
      <c r="F363">
        <v>177.2</v>
      </c>
      <c r="G363">
        <v>177.9</v>
      </c>
      <c r="H363">
        <v>172.2</v>
      </c>
      <c r="I363">
        <v>172.1</v>
      </c>
      <c r="J363">
        <v>175.8</v>
      </c>
      <c r="K363">
        <v>172.2</v>
      </c>
      <c r="L363">
        <v>121.9</v>
      </c>
      <c r="M363">
        <v>204.8</v>
      </c>
      <c r="N363">
        <v>164.9</v>
      </c>
      <c r="O363">
        <v>196.6</v>
      </c>
      <c r="P363">
        <v>180.7</v>
      </c>
      <c r="Q363">
        <v>202.7</v>
      </c>
      <c r="R363">
        <v>180.3</v>
      </c>
      <c r="S363">
        <v>167</v>
      </c>
      <c r="T363">
        <v>178.2</v>
      </c>
      <c r="U363">
        <v>173.5</v>
      </c>
      <c r="V363">
        <v>182.8</v>
      </c>
      <c r="W363">
        <v>169.2</v>
      </c>
      <c r="X363">
        <v>180.8</v>
      </c>
      <c r="Y363">
        <v>159.80000000000001</v>
      </c>
      <c r="Z363">
        <v>168.4</v>
      </c>
      <c r="AA363">
        <v>172.5</v>
      </c>
      <c r="AB363">
        <v>181.4</v>
      </c>
      <c r="AC363">
        <v>170</v>
      </c>
      <c r="AD363">
        <v>176.3</v>
      </c>
    </row>
    <row r="364" spans="1:30" x14ac:dyDescent="0.3">
      <c r="A364" t="s">
        <v>34</v>
      </c>
      <c r="B364">
        <v>2023</v>
      </c>
      <c r="C364" t="s">
        <v>35</v>
      </c>
      <c r="D364">
        <v>174.4</v>
      </c>
      <c r="E364">
        <v>207.7</v>
      </c>
      <c r="F364">
        <v>175.2</v>
      </c>
      <c r="G364">
        <v>177.3</v>
      </c>
      <c r="H364">
        <v>179.3</v>
      </c>
      <c r="I364">
        <v>169.5</v>
      </c>
      <c r="J364">
        <v>152.69999999999999</v>
      </c>
      <c r="K364">
        <v>171</v>
      </c>
      <c r="L364">
        <v>120</v>
      </c>
      <c r="M364">
        <v>209.7</v>
      </c>
      <c r="N364">
        <v>172.3</v>
      </c>
      <c r="O364">
        <v>193</v>
      </c>
      <c r="P364">
        <v>177</v>
      </c>
      <c r="Q364">
        <v>199.5</v>
      </c>
      <c r="R364">
        <v>186.2</v>
      </c>
      <c r="S364">
        <v>178.7</v>
      </c>
      <c r="T364">
        <v>185.1</v>
      </c>
      <c r="U364">
        <v>173.5</v>
      </c>
      <c r="V364">
        <v>182.1</v>
      </c>
      <c r="W364">
        <v>174.2</v>
      </c>
      <c r="X364">
        <v>184.4</v>
      </c>
      <c r="Y364">
        <v>164.2</v>
      </c>
      <c r="Z364">
        <v>170.3</v>
      </c>
      <c r="AA364">
        <v>175</v>
      </c>
      <c r="AB364">
        <v>181</v>
      </c>
      <c r="AC364">
        <v>174.1</v>
      </c>
      <c r="AD364">
        <v>177.2</v>
      </c>
    </row>
    <row r="365" spans="1:30" x14ac:dyDescent="0.3">
      <c r="A365" t="s">
        <v>30</v>
      </c>
      <c r="B365">
        <v>2023</v>
      </c>
      <c r="C365" t="s">
        <v>36</v>
      </c>
      <c r="D365">
        <v>174.3</v>
      </c>
      <c r="E365">
        <v>205.2</v>
      </c>
      <c r="F365">
        <v>173.9</v>
      </c>
      <c r="G365">
        <v>177</v>
      </c>
      <c r="H365">
        <v>183.3</v>
      </c>
      <c r="I365">
        <v>167.2</v>
      </c>
      <c r="J365">
        <v>140.9</v>
      </c>
      <c r="K365">
        <v>170.5</v>
      </c>
      <c r="L365">
        <v>119.1</v>
      </c>
      <c r="M365">
        <v>212.1</v>
      </c>
      <c r="N365">
        <v>177.6</v>
      </c>
      <c r="O365">
        <v>189.9</v>
      </c>
      <c r="P365">
        <v>174.8</v>
      </c>
      <c r="Q365">
        <v>198.4</v>
      </c>
      <c r="R365">
        <v>190</v>
      </c>
      <c r="S365">
        <v>187</v>
      </c>
      <c r="T365">
        <v>189.6</v>
      </c>
      <c r="U365" t="s">
        <v>32</v>
      </c>
      <c r="V365">
        <v>181.4</v>
      </c>
      <c r="W365">
        <v>178.6</v>
      </c>
      <c r="X365">
        <v>186.6</v>
      </c>
      <c r="Y365">
        <v>169</v>
      </c>
      <c r="Z365">
        <v>172.8</v>
      </c>
      <c r="AA365">
        <v>178.5</v>
      </c>
      <c r="AB365">
        <v>180.7</v>
      </c>
      <c r="AC365">
        <v>177.9</v>
      </c>
      <c r="AD365">
        <v>178</v>
      </c>
    </row>
    <row r="366" spans="1:30" x14ac:dyDescent="0.3">
      <c r="A366" t="s">
        <v>33</v>
      </c>
      <c r="B366">
        <v>2023</v>
      </c>
      <c r="C366" t="s">
        <v>36</v>
      </c>
      <c r="D366">
        <v>174.7</v>
      </c>
      <c r="E366">
        <v>212.2</v>
      </c>
      <c r="F366">
        <v>177.2</v>
      </c>
      <c r="G366">
        <v>177.9</v>
      </c>
      <c r="H366">
        <v>172.2</v>
      </c>
      <c r="I366">
        <v>172.1</v>
      </c>
      <c r="J366">
        <v>175.9</v>
      </c>
      <c r="K366">
        <v>172.2</v>
      </c>
      <c r="L366">
        <v>121.9</v>
      </c>
      <c r="M366">
        <v>204.8</v>
      </c>
      <c r="N366">
        <v>164.9</v>
      </c>
      <c r="O366">
        <v>196.6</v>
      </c>
      <c r="P366">
        <v>180.8</v>
      </c>
      <c r="Q366">
        <v>202.7</v>
      </c>
      <c r="R366">
        <v>180.2</v>
      </c>
      <c r="S366">
        <v>167</v>
      </c>
      <c r="T366">
        <v>178.2</v>
      </c>
      <c r="U366">
        <v>173.5</v>
      </c>
      <c r="V366">
        <v>182.6</v>
      </c>
      <c r="W366">
        <v>169.2</v>
      </c>
      <c r="X366">
        <v>180.8</v>
      </c>
      <c r="Y366">
        <v>159.80000000000001</v>
      </c>
      <c r="Z366">
        <v>168.4</v>
      </c>
      <c r="AA366">
        <v>172.5</v>
      </c>
      <c r="AB366">
        <v>181.5</v>
      </c>
      <c r="AC366">
        <v>170</v>
      </c>
      <c r="AD366">
        <v>176.3</v>
      </c>
    </row>
    <row r="367" spans="1:30" x14ac:dyDescent="0.3">
      <c r="A367" t="s">
        <v>34</v>
      </c>
      <c r="B367">
        <v>2023</v>
      </c>
      <c r="C367" t="s">
        <v>36</v>
      </c>
      <c r="D367">
        <v>174.4</v>
      </c>
      <c r="E367">
        <v>207.7</v>
      </c>
      <c r="F367">
        <v>175.2</v>
      </c>
      <c r="G367">
        <v>177.3</v>
      </c>
      <c r="H367">
        <v>179.2</v>
      </c>
      <c r="I367">
        <v>169.5</v>
      </c>
      <c r="J367">
        <v>152.80000000000001</v>
      </c>
      <c r="K367">
        <v>171.1</v>
      </c>
      <c r="L367">
        <v>120</v>
      </c>
      <c r="M367">
        <v>209.7</v>
      </c>
      <c r="N367">
        <v>172.3</v>
      </c>
      <c r="O367">
        <v>193</v>
      </c>
      <c r="P367">
        <v>177</v>
      </c>
      <c r="Q367">
        <v>199.5</v>
      </c>
      <c r="R367">
        <v>186.1</v>
      </c>
      <c r="S367">
        <v>178.7</v>
      </c>
      <c r="T367">
        <v>185.1</v>
      </c>
      <c r="U367">
        <v>173.5</v>
      </c>
      <c r="V367">
        <v>181.9</v>
      </c>
      <c r="W367">
        <v>174.2</v>
      </c>
      <c r="X367">
        <v>184.4</v>
      </c>
      <c r="Y367">
        <v>164.2</v>
      </c>
      <c r="Z367">
        <v>170.3</v>
      </c>
      <c r="AA367">
        <v>175</v>
      </c>
      <c r="AB367">
        <v>181</v>
      </c>
      <c r="AC367">
        <v>174.1</v>
      </c>
      <c r="AD367">
        <v>177.2</v>
      </c>
    </row>
    <row r="368" spans="1:30" x14ac:dyDescent="0.3">
      <c r="A368" t="s">
        <v>30</v>
      </c>
      <c r="B368">
        <v>2023</v>
      </c>
      <c r="C368" t="s">
        <v>37</v>
      </c>
      <c r="D368">
        <v>173.3</v>
      </c>
      <c r="E368">
        <v>206.9</v>
      </c>
      <c r="F368">
        <v>167.9</v>
      </c>
      <c r="G368">
        <v>178.2</v>
      </c>
      <c r="H368">
        <v>178.5</v>
      </c>
      <c r="I368">
        <v>173.7</v>
      </c>
      <c r="J368">
        <v>142.80000000000001</v>
      </c>
      <c r="K368">
        <v>172.8</v>
      </c>
      <c r="L368">
        <v>120.4</v>
      </c>
      <c r="M368">
        <v>215.5</v>
      </c>
      <c r="N368">
        <v>178.2</v>
      </c>
      <c r="O368">
        <v>190.5</v>
      </c>
      <c r="P368">
        <v>175.5</v>
      </c>
      <c r="Q368">
        <v>199.5</v>
      </c>
      <c r="R368">
        <v>190.7</v>
      </c>
      <c r="S368">
        <v>187.3</v>
      </c>
      <c r="T368">
        <v>190.2</v>
      </c>
      <c r="U368" t="s">
        <v>48</v>
      </c>
      <c r="V368">
        <v>181.5</v>
      </c>
      <c r="W368">
        <v>179.1</v>
      </c>
      <c r="X368">
        <v>187.2</v>
      </c>
      <c r="Y368">
        <v>169.4</v>
      </c>
      <c r="Z368">
        <v>173.2</v>
      </c>
      <c r="AA368">
        <v>179.4</v>
      </c>
      <c r="AB368">
        <v>183.8</v>
      </c>
      <c r="AC368">
        <v>178.9</v>
      </c>
      <c r="AD368">
        <v>178.8</v>
      </c>
    </row>
    <row r="369" spans="1:30" x14ac:dyDescent="0.3">
      <c r="A369" t="s">
        <v>33</v>
      </c>
      <c r="B369">
        <v>2023</v>
      </c>
      <c r="C369" t="s">
        <v>37</v>
      </c>
      <c r="D369">
        <v>174.8</v>
      </c>
      <c r="E369">
        <v>213.7</v>
      </c>
      <c r="F369">
        <v>172.4</v>
      </c>
      <c r="G369">
        <v>178.8</v>
      </c>
      <c r="H369">
        <v>168.7</v>
      </c>
      <c r="I369">
        <v>179.2</v>
      </c>
      <c r="J369">
        <v>179.9</v>
      </c>
      <c r="K369">
        <v>174.7</v>
      </c>
      <c r="L369">
        <v>123.1</v>
      </c>
      <c r="M369">
        <v>207.8</v>
      </c>
      <c r="N369">
        <v>165.5</v>
      </c>
      <c r="O369">
        <v>197</v>
      </c>
      <c r="P369">
        <v>182.1</v>
      </c>
      <c r="Q369">
        <v>203.5</v>
      </c>
      <c r="R369">
        <v>181</v>
      </c>
      <c r="S369">
        <v>167.7</v>
      </c>
      <c r="T369">
        <v>178.9</v>
      </c>
      <c r="U369">
        <v>175.2</v>
      </c>
      <c r="V369">
        <v>182.1</v>
      </c>
      <c r="W369">
        <v>169.6</v>
      </c>
      <c r="X369">
        <v>181.5</v>
      </c>
      <c r="Y369">
        <v>160.1</v>
      </c>
      <c r="Z369">
        <v>168.8</v>
      </c>
      <c r="AA369">
        <v>174.2</v>
      </c>
      <c r="AB369">
        <v>184.4</v>
      </c>
      <c r="AC369">
        <v>170.9</v>
      </c>
      <c r="AD369">
        <v>177.4</v>
      </c>
    </row>
    <row r="370" spans="1:30" x14ac:dyDescent="0.3">
      <c r="A370" t="s">
        <v>34</v>
      </c>
      <c r="B370">
        <v>2023</v>
      </c>
      <c r="C370" t="s">
        <v>37</v>
      </c>
      <c r="D370">
        <v>173.8</v>
      </c>
      <c r="E370">
        <v>209.3</v>
      </c>
      <c r="F370">
        <v>169.6</v>
      </c>
      <c r="G370">
        <v>178.4</v>
      </c>
      <c r="H370">
        <v>174.9</v>
      </c>
      <c r="I370">
        <v>176.3</v>
      </c>
      <c r="J370">
        <v>155.4</v>
      </c>
      <c r="K370">
        <v>173.4</v>
      </c>
      <c r="L370">
        <v>121.3</v>
      </c>
      <c r="M370">
        <v>212.9</v>
      </c>
      <c r="N370">
        <v>172.9</v>
      </c>
      <c r="O370">
        <v>193.5</v>
      </c>
      <c r="P370">
        <v>177.9</v>
      </c>
      <c r="Q370">
        <v>200.6</v>
      </c>
      <c r="R370">
        <v>186.9</v>
      </c>
      <c r="S370">
        <v>179.2</v>
      </c>
      <c r="T370">
        <v>185.7</v>
      </c>
      <c r="U370">
        <v>175.2</v>
      </c>
      <c r="V370">
        <v>181.7</v>
      </c>
      <c r="W370">
        <v>174.6</v>
      </c>
      <c r="X370">
        <v>185</v>
      </c>
      <c r="Y370">
        <v>164.5</v>
      </c>
      <c r="Z370">
        <v>170.7</v>
      </c>
      <c r="AA370">
        <v>176.4</v>
      </c>
      <c r="AB370">
        <v>184</v>
      </c>
      <c r="AC370">
        <v>175</v>
      </c>
      <c r="AD370">
        <v>178.1</v>
      </c>
    </row>
    <row r="371" spans="1:30" x14ac:dyDescent="0.3">
      <c r="A371" t="s">
        <v>30</v>
      </c>
      <c r="B371">
        <v>2023</v>
      </c>
      <c r="C371" t="s">
        <v>38</v>
      </c>
      <c r="D371">
        <v>173.2</v>
      </c>
      <c r="E371">
        <v>211.5</v>
      </c>
      <c r="F371">
        <v>171</v>
      </c>
      <c r="G371">
        <v>179.6</v>
      </c>
      <c r="H371">
        <v>173.3</v>
      </c>
      <c r="I371">
        <v>169</v>
      </c>
      <c r="J371">
        <v>148.69999999999999</v>
      </c>
      <c r="K371">
        <v>174.9</v>
      </c>
      <c r="L371">
        <v>121.9</v>
      </c>
      <c r="M371">
        <v>221</v>
      </c>
      <c r="N371">
        <v>178.7</v>
      </c>
      <c r="O371">
        <v>191.1</v>
      </c>
      <c r="P371">
        <v>176.8</v>
      </c>
      <c r="Q371">
        <v>199.9</v>
      </c>
      <c r="R371">
        <v>191.2</v>
      </c>
      <c r="S371">
        <v>187.9</v>
      </c>
      <c r="T371">
        <v>190.8</v>
      </c>
      <c r="U371" t="s">
        <v>48</v>
      </c>
      <c r="V371">
        <v>182.5</v>
      </c>
      <c r="W371">
        <v>179.8</v>
      </c>
      <c r="X371">
        <v>187.8</v>
      </c>
      <c r="Y371">
        <v>169.7</v>
      </c>
      <c r="Z371">
        <v>173.8</v>
      </c>
      <c r="AA371">
        <v>180.3</v>
      </c>
      <c r="AB371">
        <v>184.9</v>
      </c>
      <c r="AC371">
        <v>179.5</v>
      </c>
      <c r="AD371">
        <v>179.8</v>
      </c>
    </row>
    <row r="372" spans="1:30" x14ac:dyDescent="0.3">
      <c r="A372" t="s">
        <v>33</v>
      </c>
      <c r="B372">
        <v>2023</v>
      </c>
      <c r="C372" t="s">
        <v>38</v>
      </c>
      <c r="D372">
        <v>174.7</v>
      </c>
      <c r="E372">
        <v>219.4</v>
      </c>
      <c r="F372">
        <v>176.7</v>
      </c>
      <c r="G372">
        <v>179.4</v>
      </c>
      <c r="H372">
        <v>164.4</v>
      </c>
      <c r="I372">
        <v>175.8</v>
      </c>
      <c r="J372">
        <v>185</v>
      </c>
      <c r="K372">
        <v>176.9</v>
      </c>
      <c r="L372">
        <v>124.2</v>
      </c>
      <c r="M372">
        <v>211.9</v>
      </c>
      <c r="N372">
        <v>165.9</v>
      </c>
      <c r="O372">
        <v>197.7</v>
      </c>
      <c r="P372">
        <v>183.1</v>
      </c>
      <c r="Q372">
        <v>204.2</v>
      </c>
      <c r="R372">
        <v>181.3</v>
      </c>
      <c r="S372">
        <v>168.1</v>
      </c>
      <c r="T372">
        <v>179.3</v>
      </c>
      <c r="U372">
        <v>175.6</v>
      </c>
      <c r="V372">
        <v>183.4</v>
      </c>
      <c r="W372">
        <v>170.1</v>
      </c>
      <c r="X372">
        <v>182.2</v>
      </c>
      <c r="Y372">
        <v>160.4</v>
      </c>
      <c r="Z372">
        <v>169.2</v>
      </c>
      <c r="AA372">
        <v>174.8</v>
      </c>
      <c r="AB372">
        <v>185.6</v>
      </c>
      <c r="AC372">
        <v>171.6</v>
      </c>
      <c r="AD372">
        <v>178.2</v>
      </c>
    </row>
    <row r="373" spans="1:30" x14ac:dyDescent="0.3">
      <c r="A373" t="s">
        <v>34</v>
      </c>
      <c r="B373">
        <v>2023</v>
      </c>
      <c r="C373" t="s">
        <v>38</v>
      </c>
      <c r="D373">
        <v>173.7</v>
      </c>
      <c r="E373">
        <v>214.3</v>
      </c>
      <c r="F373">
        <v>173.2</v>
      </c>
      <c r="G373">
        <v>179.5</v>
      </c>
      <c r="H373">
        <v>170</v>
      </c>
      <c r="I373">
        <v>172.2</v>
      </c>
      <c r="J373">
        <v>161</v>
      </c>
      <c r="K373">
        <v>175.6</v>
      </c>
      <c r="L373">
        <v>122.7</v>
      </c>
      <c r="M373">
        <v>218</v>
      </c>
      <c r="N373">
        <v>173.4</v>
      </c>
      <c r="O373">
        <v>194.2</v>
      </c>
      <c r="P373">
        <v>179.1</v>
      </c>
      <c r="Q373">
        <v>201</v>
      </c>
      <c r="R373">
        <v>187.3</v>
      </c>
      <c r="S373">
        <v>179.7</v>
      </c>
      <c r="T373">
        <v>186.2</v>
      </c>
      <c r="U373">
        <v>175.6</v>
      </c>
      <c r="V373">
        <v>182.8</v>
      </c>
      <c r="W373">
        <v>175.2</v>
      </c>
      <c r="X373">
        <v>185.7</v>
      </c>
      <c r="Y373">
        <v>164.8</v>
      </c>
      <c r="Z373">
        <v>171.2</v>
      </c>
      <c r="AA373">
        <v>177.1</v>
      </c>
      <c r="AB373">
        <v>185.2</v>
      </c>
      <c r="AC373">
        <v>175.7</v>
      </c>
      <c r="AD373">
        <v>179.1</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466072-5BE0-4EB6-A5BA-D76395B6BC3A}">
  <dimension ref="A1:N28"/>
  <sheetViews>
    <sheetView workbookViewId="0">
      <selection activeCell="M6" sqref="M6"/>
    </sheetView>
  </sheetViews>
  <sheetFormatPr defaultRowHeight="14.4" x14ac:dyDescent="0.3"/>
  <cols>
    <col min="5" max="5" width="18.44140625" bestFit="1" customWidth="1"/>
    <col min="7" max="7" width="32.77734375" bestFit="1" customWidth="1"/>
    <col min="9" max="9" width="26.5546875" bestFit="1" customWidth="1"/>
    <col min="11" max="11" width="24" bestFit="1" customWidth="1"/>
    <col min="13" max="13" width="16.33203125" bestFit="1" customWidth="1"/>
  </cols>
  <sheetData>
    <row r="1" spans="1:14" x14ac:dyDescent="0.3">
      <c r="A1" s="10" t="s">
        <v>49</v>
      </c>
      <c r="B1" s="10" t="s">
        <v>50</v>
      </c>
      <c r="C1" s="10" t="s">
        <v>85</v>
      </c>
      <c r="E1" s="10" t="s">
        <v>56</v>
      </c>
      <c r="G1" s="10" t="s">
        <v>63</v>
      </c>
      <c r="I1" s="10" t="s">
        <v>75</v>
      </c>
      <c r="K1" s="10" t="s">
        <v>81</v>
      </c>
      <c r="M1" s="10" t="s">
        <v>86</v>
      </c>
    </row>
    <row r="2" spans="1:14" x14ac:dyDescent="0.3">
      <c r="A2" t="s">
        <v>3</v>
      </c>
      <c r="B2" t="s">
        <v>51</v>
      </c>
      <c r="C2" t="s">
        <v>51</v>
      </c>
      <c r="E2" t="s">
        <v>65</v>
      </c>
      <c r="G2" t="s">
        <v>64</v>
      </c>
      <c r="I2" t="s">
        <v>76</v>
      </c>
      <c r="K2" t="s">
        <v>82</v>
      </c>
      <c r="M2" t="s">
        <v>87</v>
      </c>
      <c r="N2" t="s">
        <v>88</v>
      </c>
    </row>
    <row r="3" spans="1:14" x14ac:dyDescent="0.3">
      <c r="A3" t="s">
        <v>4</v>
      </c>
      <c r="B3" t="s">
        <v>51</v>
      </c>
      <c r="C3" t="s">
        <v>51</v>
      </c>
      <c r="G3" t="s">
        <v>34</v>
      </c>
      <c r="I3" t="s">
        <v>78</v>
      </c>
      <c r="K3" t="s">
        <v>83</v>
      </c>
      <c r="M3" t="s">
        <v>89</v>
      </c>
    </row>
    <row r="4" spans="1:14" x14ac:dyDescent="0.3">
      <c r="A4" t="s">
        <v>5</v>
      </c>
      <c r="B4" t="s">
        <v>51</v>
      </c>
      <c r="C4" t="s">
        <v>51</v>
      </c>
      <c r="G4" t="s">
        <v>66</v>
      </c>
      <c r="I4" t="s">
        <v>77</v>
      </c>
      <c r="M4" t="s">
        <v>57</v>
      </c>
    </row>
    <row r="5" spans="1:14" x14ac:dyDescent="0.3">
      <c r="A5" t="s">
        <v>6</v>
      </c>
      <c r="B5" t="s">
        <v>51</v>
      </c>
      <c r="C5" t="s">
        <v>51</v>
      </c>
      <c r="G5" t="s">
        <v>55</v>
      </c>
      <c r="I5" t="s">
        <v>79</v>
      </c>
      <c r="M5" t="s">
        <v>72</v>
      </c>
    </row>
    <row r="6" spans="1:14" x14ac:dyDescent="0.3">
      <c r="A6" t="s">
        <v>7</v>
      </c>
      <c r="B6" t="s">
        <v>51</v>
      </c>
      <c r="C6" t="s">
        <v>51</v>
      </c>
      <c r="G6" t="s">
        <v>67</v>
      </c>
    </row>
    <row r="7" spans="1:14" x14ac:dyDescent="0.3">
      <c r="A7" t="s">
        <v>8</v>
      </c>
      <c r="B7" t="s">
        <v>51</v>
      </c>
      <c r="C7" t="s">
        <v>51</v>
      </c>
      <c r="G7" t="s">
        <v>68</v>
      </c>
    </row>
    <row r="8" spans="1:14" x14ac:dyDescent="0.3">
      <c r="A8" t="s">
        <v>9</v>
      </c>
      <c r="B8" t="s">
        <v>51</v>
      </c>
      <c r="C8" t="s">
        <v>51</v>
      </c>
    </row>
    <row r="9" spans="1:14" x14ac:dyDescent="0.3">
      <c r="A9" t="s">
        <v>10</v>
      </c>
      <c r="B9" t="s">
        <v>51</v>
      </c>
      <c r="C9" t="s">
        <v>51</v>
      </c>
    </row>
    <row r="10" spans="1:14" x14ac:dyDescent="0.3">
      <c r="A10" t="s">
        <v>11</v>
      </c>
      <c r="B10" t="s">
        <v>51</v>
      </c>
      <c r="C10" t="s">
        <v>51</v>
      </c>
    </row>
    <row r="11" spans="1:14" x14ac:dyDescent="0.3">
      <c r="A11" t="s">
        <v>12</v>
      </c>
      <c r="B11" t="s">
        <v>51</v>
      </c>
      <c r="C11" t="s">
        <v>51</v>
      </c>
    </row>
    <row r="12" spans="1:14" x14ac:dyDescent="0.3">
      <c r="A12" t="s">
        <v>13</v>
      </c>
      <c r="B12" t="s">
        <v>52</v>
      </c>
    </row>
    <row r="13" spans="1:14" x14ac:dyDescent="0.3">
      <c r="A13" t="s">
        <v>14</v>
      </c>
      <c r="B13" t="s">
        <v>51</v>
      </c>
      <c r="C13" t="s">
        <v>51</v>
      </c>
    </row>
    <row r="14" spans="1:14" x14ac:dyDescent="0.3">
      <c r="A14" t="s">
        <v>15</v>
      </c>
      <c r="B14" t="s">
        <v>51</v>
      </c>
      <c r="C14" t="s">
        <v>51</v>
      </c>
    </row>
    <row r="15" spans="1:14" x14ac:dyDescent="0.3">
      <c r="A15" t="s">
        <v>16</v>
      </c>
      <c r="B15" t="s">
        <v>52</v>
      </c>
    </row>
    <row r="16" spans="1:14" x14ac:dyDescent="0.3">
      <c r="A16" t="s">
        <v>17</v>
      </c>
      <c r="B16" t="s">
        <v>53</v>
      </c>
    </row>
    <row r="17" spans="1:3" x14ac:dyDescent="0.3">
      <c r="A17" t="s">
        <v>18</v>
      </c>
      <c r="B17" t="s">
        <v>53</v>
      </c>
    </row>
    <row r="18" spans="1:3" x14ac:dyDescent="0.3">
      <c r="A18" t="s">
        <v>19</v>
      </c>
      <c r="B18" t="s">
        <v>53</v>
      </c>
    </row>
    <row r="19" spans="1:3" x14ac:dyDescent="0.3">
      <c r="A19" t="s">
        <v>20</v>
      </c>
      <c r="B19" t="s">
        <v>20</v>
      </c>
      <c r="C19" t="s">
        <v>84</v>
      </c>
    </row>
    <row r="20" spans="1:3" x14ac:dyDescent="0.3">
      <c r="A20" t="s">
        <v>21</v>
      </c>
      <c r="B20" t="s">
        <v>21</v>
      </c>
      <c r="C20" t="s">
        <v>84</v>
      </c>
    </row>
    <row r="21" spans="1:3" x14ac:dyDescent="0.3">
      <c r="A21" t="s">
        <v>22</v>
      </c>
      <c r="B21" t="s">
        <v>20</v>
      </c>
      <c r="C21" t="s">
        <v>84</v>
      </c>
    </row>
    <row r="22" spans="1:3" x14ac:dyDescent="0.3">
      <c r="A22" t="s">
        <v>23</v>
      </c>
      <c r="B22" t="s">
        <v>23</v>
      </c>
      <c r="C22" t="s">
        <v>23</v>
      </c>
    </row>
    <row r="23" spans="1:3" x14ac:dyDescent="0.3">
      <c r="A23" t="s">
        <v>24</v>
      </c>
      <c r="B23" t="s">
        <v>54</v>
      </c>
      <c r="C23" t="s">
        <v>84</v>
      </c>
    </row>
    <row r="24" spans="1:3" x14ac:dyDescent="0.3">
      <c r="A24" t="s">
        <v>25</v>
      </c>
      <c r="B24" t="s">
        <v>25</v>
      </c>
    </row>
    <row r="25" spans="1:3" x14ac:dyDescent="0.3">
      <c r="A25" t="s">
        <v>26</v>
      </c>
      <c r="B25" t="s">
        <v>26</v>
      </c>
      <c r="C25" t="s">
        <v>84</v>
      </c>
    </row>
    <row r="26" spans="1:3" x14ac:dyDescent="0.3">
      <c r="A26" t="s">
        <v>27</v>
      </c>
      <c r="B26" t="s">
        <v>27</v>
      </c>
    </row>
    <row r="27" spans="1:3" x14ac:dyDescent="0.3">
      <c r="A27" t="s">
        <v>28</v>
      </c>
      <c r="B27" t="s">
        <v>58</v>
      </c>
    </row>
    <row r="28" spans="1:3" x14ac:dyDescent="0.3">
      <c r="A28" t="s">
        <v>29</v>
      </c>
      <c r="B28" t="s">
        <v>55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23F871-9994-42F9-946A-E125E7719D9C}">
  <dimension ref="A1:AD36"/>
  <sheetViews>
    <sheetView topLeftCell="J3" workbookViewId="0">
      <selection activeCell="K20" sqref="K20"/>
    </sheetView>
  </sheetViews>
  <sheetFormatPr defaultRowHeight="14.4" x14ac:dyDescent="0.3"/>
  <cols>
    <col min="8" max="8" width="23.6640625" bestFit="1" customWidth="1"/>
    <col min="9" max="9" width="8.6640625" customWidth="1"/>
    <col min="10" max="10" width="10.21875" bestFit="1" customWidth="1"/>
    <col min="11" max="11" width="18" bestFit="1" customWidth="1"/>
    <col min="12" max="12" width="22.21875" bestFit="1" customWidth="1"/>
    <col min="13" max="13" width="8" bestFit="1" customWidth="1"/>
    <col min="14" max="14" width="22.109375" bestFit="1" customWidth="1"/>
  </cols>
  <sheetData>
    <row r="1" spans="1:30" x14ac:dyDescent="0.3">
      <c r="A1" s="1"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7" t="s">
        <v>29</v>
      </c>
    </row>
    <row r="2" spans="1:30" x14ac:dyDescent="0.3">
      <c r="A2" s="3" t="s">
        <v>30</v>
      </c>
      <c r="B2" s="4">
        <v>2023</v>
      </c>
      <c r="C2" s="4" t="s">
        <v>38</v>
      </c>
      <c r="D2" s="4">
        <v>173.2</v>
      </c>
      <c r="E2" s="4">
        <v>211.5</v>
      </c>
      <c r="F2" s="4">
        <v>171</v>
      </c>
      <c r="G2" s="4">
        <v>179.6</v>
      </c>
      <c r="H2" s="4">
        <v>173.3</v>
      </c>
      <c r="I2" s="4">
        <v>169</v>
      </c>
      <c r="J2" s="4">
        <v>148.69999999999999</v>
      </c>
      <c r="K2" s="4">
        <v>174.9</v>
      </c>
      <c r="L2" s="4">
        <v>121.9</v>
      </c>
      <c r="M2" s="4">
        <v>221</v>
      </c>
      <c r="N2" s="4">
        <v>178.7</v>
      </c>
      <c r="O2" s="4">
        <v>191.1</v>
      </c>
      <c r="P2" s="4">
        <v>176.8</v>
      </c>
      <c r="Q2" s="4">
        <v>199.9</v>
      </c>
      <c r="R2" s="4">
        <v>191.2</v>
      </c>
      <c r="S2" s="4">
        <v>187.9</v>
      </c>
      <c r="T2" s="4">
        <v>190.8</v>
      </c>
      <c r="U2" s="4" t="s">
        <v>48</v>
      </c>
      <c r="V2" s="4">
        <v>182.5</v>
      </c>
      <c r="W2" s="4">
        <v>179.8</v>
      </c>
      <c r="X2" s="4">
        <v>187.8</v>
      </c>
      <c r="Y2" s="4">
        <v>169.7</v>
      </c>
      <c r="Z2" s="4">
        <v>173.8</v>
      </c>
      <c r="AA2" s="4">
        <v>180.3</v>
      </c>
      <c r="AB2" s="4">
        <v>184.9</v>
      </c>
      <c r="AC2" s="4">
        <v>179.5</v>
      </c>
      <c r="AD2" s="8">
        <v>179.8</v>
      </c>
    </row>
    <row r="3" spans="1:30" x14ac:dyDescent="0.3">
      <c r="A3" s="5" t="s">
        <v>33</v>
      </c>
      <c r="B3" s="6">
        <v>2023</v>
      </c>
      <c r="C3" s="6" t="s">
        <v>38</v>
      </c>
      <c r="D3" s="6">
        <v>174.7</v>
      </c>
      <c r="E3" s="6">
        <v>219.4</v>
      </c>
      <c r="F3" s="6">
        <v>176.7</v>
      </c>
      <c r="G3" s="6">
        <v>179.4</v>
      </c>
      <c r="H3" s="6">
        <v>164.4</v>
      </c>
      <c r="I3" s="6">
        <v>175.8</v>
      </c>
      <c r="J3" s="6">
        <v>185</v>
      </c>
      <c r="K3" s="6">
        <v>176.9</v>
      </c>
      <c r="L3" s="6">
        <v>124.2</v>
      </c>
      <c r="M3" s="6">
        <v>211.9</v>
      </c>
      <c r="N3" s="6">
        <v>165.9</v>
      </c>
      <c r="O3" s="6">
        <v>197.7</v>
      </c>
      <c r="P3" s="6">
        <v>183.1</v>
      </c>
      <c r="Q3" s="6">
        <v>204.2</v>
      </c>
      <c r="R3" s="6">
        <v>181.3</v>
      </c>
      <c r="S3" s="6">
        <v>168.1</v>
      </c>
      <c r="T3" s="6">
        <v>179.3</v>
      </c>
      <c r="U3" s="6">
        <v>175.6</v>
      </c>
      <c r="V3" s="6">
        <v>183.4</v>
      </c>
      <c r="W3" s="6">
        <v>170.1</v>
      </c>
      <c r="X3" s="6">
        <v>182.2</v>
      </c>
      <c r="Y3" s="6">
        <v>160.4</v>
      </c>
      <c r="Z3" s="6">
        <v>169.2</v>
      </c>
      <c r="AA3" s="6">
        <v>174.8</v>
      </c>
      <c r="AB3" s="6">
        <v>185.6</v>
      </c>
      <c r="AC3" s="6">
        <v>171.6</v>
      </c>
      <c r="AD3" s="9">
        <v>178.2</v>
      </c>
    </row>
    <row r="4" spans="1:30" x14ac:dyDescent="0.3">
      <c r="A4" s="3" t="s">
        <v>34</v>
      </c>
      <c r="B4" s="4">
        <v>2023</v>
      </c>
      <c r="C4" s="4" t="s">
        <v>38</v>
      </c>
      <c r="D4" s="4">
        <v>173.7</v>
      </c>
      <c r="E4" s="4">
        <v>214.3</v>
      </c>
      <c r="F4" s="4">
        <v>173.2</v>
      </c>
      <c r="G4" s="4">
        <v>179.5</v>
      </c>
      <c r="H4" s="4">
        <v>170</v>
      </c>
      <c r="I4" s="4">
        <v>172.2</v>
      </c>
      <c r="J4" s="4">
        <v>161</v>
      </c>
      <c r="K4" s="4">
        <v>175.6</v>
      </c>
      <c r="L4" s="4">
        <v>122.7</v>
      </c>
      <c r="M4" s="4">
        <v>218</v>
      </c>
      <c r="N4" s="4">
        <v>173.4</v>
      </c>
      <c r="O4" s="4">
        <v>194.2</v>
      </c>
      <c r="P4" s="4">
        <v>179.1</v>
      </c>
      <c r="Q4" s="4">
        <v>201</v>
      </c>
      <c r="R4" s="4">
        <v>187.3</v>
      </c>
      <c r="S4" s="4">
        <v>179.7</v>
      </c>
      <c r="T4" s="4">
        <v>186.2</v>
      </c>
      <c r="U4" s="4">
        <v>175.6</v>
      </c>
      <c r="V4" s="4">
        <v>182.8</v>
      </c>
      <c r="W4" s="4">
        <v>175.2</v>
      </c>
      <c r="X4" s="4">
        <v>185.7</v>
      </c>
      <c r="Y4" s="4">
        <v>164.8</v>
      </c>
      <c r="Z4" s="4">
        <v>171.2</v>
      </c>
      <c r="AA4" s="4">
        <v>177.1</v>
      </c>
      <c r="AB4" s="4">
        <v>185.2</v>
      </c>
      <c r="AC4" s="4">
        <v>175.7</v>
      </c>
      <c r="AD4" s="8">
        <v>179.1</v>
      </c>
    </row>
    <row r="6" spans="1:30" x14ac:dyDescent="0.3">
      <c r="A6" s="47" t="s">
        <v>57</v>
      </c>
      <c r="B6" s="47"/>
      <c r="C6" s="47"/>
      <c r="D6" s="47"/>
      <c r="E6" s="47"/>
    </row>
    <row r="7" spans="1:30" x14ac:dyDescent="0.3">
      <c r="A7" s="11" t="s">
        <v>49</v>
      </c>
      <c r="B7" s="11" t="s">
        <v>30</v>
      </c>
      <c r="C7" s="11" t="s">
        <v>33</v>
      </c>
      <c r="D7" s="11" t="s">
        <v>34</v>
      </c>
      <c r="E7" s="11" t="s">
        <v>50</v>
      </c>
      <c r="H7" s="17" t="s">
        <v>50</v>
      </c>
      <c r="I7" s="17" t="s">
        <v>30</v>
      </c>
      <c r="J7" s="17" t="s">
        <v>33</v>
      </c>
      <c r="K7" s="17" t="s">
        <v>34</v>
      </c>
      <c r="L7" s="17" t="s">
        <v>59</v>
      </c>
      <c r="M7" s="17" t="s">
        <v>60</v>
      </c>
      <c r="N7" s="17" t="s">
        <v>61</v>
      </c>
    </row>
    <row r="8" spans="1:30" x14ac:dyDescent="0.3">
      <c r="A8" s="12" t="s">
        <v>3</v>
      </c>
      <c r="B8" s="12">
        <v>173.2</v>
      </c>
      <c r="C8" s="12">
        <v>174.7</v>
      </c>
      <c r="D8" s="12">
        <v>173.7</v>
      </c>
      <c r="E8" s="12" t="s">
        <v>51</v>
      </c>
      <c r="H8" s="15" t="str" cm="1">
        <f t="array" ref="H8:H19">_xlfn.UNIQUE(E8:E34)</f>
        <v>Food</v>
      </c>
      <c r="I8" s="15">
        <f>SUMIF($E$8:$E$34,$H8,B$8:B$34)</f>
        <v>2112.0000000000005</v>
      </c>
      <c r="J8" s="15">
        <f t="shared" ref="J8:J19" si="0">SUMIF($E$8:$E$34,$H8,C$8:C$34)</f>
        <v>2169.2000000000003</v>
      </c>
      <c r="K8" s="15">
        <f t="shared" ref="K8:K19" si="1">SUMIF($E$8:$E$34,$H8,D$8:D$34)</f>
        <v>2133.5</v>
      </c>
      <c r="L8" s="19">
        <f>I8/I$20</f>
        <v>0.46945852227260609</v>
      </c>
      <c r="M8" s="19">
        <f t="shared" ref="M8:M18" si="2">J8/J$20</f>
        <v>0.46740933870585449</v>
      </c>
      <c r="N8" s="19">
        <f t="shared" ref="N8:N18" si="3">K8/K$20</f>
        <v>0.45838346510828459</v>
      </c>
    </row>
    <row r="9" spans="1:30" x14ac:dyDescent="0.3">
      <c r="A9" s="12" t="s">
        <v>4</v>
      </c>
      <c r="B9" s="12">
        <v>211.5</v>
      </c>
      <c r="C9" s="12">
        <v>219.4</v>
      </c>
      <c r="D9" s="12">
        <v>214.3</v>
      </c>
      <c r="E9" s="12" t="s">
        <v>51</v>
      </c>
      <c r="H9" s="15" t="str">
        <v>Luxury</v>
      </c>
      <c r="I9" s="15">
        <f t="shared" ref="I9:I19" si="4">SUMIF($E$8:$E$34,$H9,B$8:B$34)</f>
        <v>378.6</v>
      </c>
      <c r="J9" s="15">
        <f t="shared" si="0"/>
        <v>370.1</v>
      </c>
      <c r="K9" s="15">
        <f t="shared" si="1"/>
        <v>374.4</v>
      </c>
      <c r="L9" s="19">
        <f t="shared" ref="L9:L18" si="5">I9/I$20</f>
        <v>8.4155774873299546E-2</v>
      </c>
      <c r="M9" s="19">
        <f t="shared" si="2"/>
        <v>7.9747462776616596E-2</v>
      </c>
      <c r="N9" s="19">
        <f t="shared" si="3"/>
        <v>8.0440013750429681E-2</v>
      </c>
    </row>
    <row r="10" spans="1:30" x14ac:dyDescent="0.3">
      <c r="A10" s="12" t="s">
        <v>5</v>
      </c>
      <c r="B10" s="12">
        <v>171</v>
      </c>
      <c r="C10" s="12">
        <v>176.7</v>
      </c>
      <c r="D10" s="12">
        <v>173.2</v>
      </c>
      <c r="E10" s="12" t="s">
        <v>51</v>
      </c>
      <c r="H10" s="15" t="str">
        <v>Apparel</v>
      </c>
      <c r="I10" s="15">
        <f t="shared" si="4"/>
        <v>569.90000000000009</v>
      </c>
      <c r="J10" s="15">
        <f t="shared" si="0"/>
        <v>528.70000000000005</v>
      </c>
      <c r="K10" s="15">
        <f t="shared" si="1"/>
        <v>553.20000000000005</v>
      </c>
      <c r="L10" s="19">
        <f t="shared" si="5"/>
        <v>0.12667822530452566</v>
      </c>
      <c r="M10" s="19">
        <f t="shared" si="2"/>
        <v>0.11392186860307267</v>
      </c>
      <c r="N10" s="19">
        <f t="shared" si="3"/>
        <v>0.11885527672739772</v>
      </c>
    </row>
    <row r="11" spans="1:30" x14ac:dyDescent="0.3">
      <c r="A11" s="12" t="s">
        <v>6</v>
      </c>
      <c r="B11" s="12">
        <v>179.6</v>
      </c>
      <c r="C11" s="12">
        <v>179.4</v>
      </c>
      <c r="D11" s="12">
        <v>179.5</v>
      </c>
      <c r="E11" s="12" t="s">
        <v>51</v>
      </c>
      <c r="H11" s="15" t="str">
        <v>Housing</v>
      </c>
      <c r="I11" s="15">
        <f t="shared" si="4"/>
        <v>179.8</v>
      </c>
      <c r="J11" s="15">
        <f t="shared" si="0"/>
        <v>345.7</v>
      </c>
      <c r="K11" s="15">
        <f t="shared" si="1"/>
        <v>350.79999999999995</v>
      </c>
      <c r="L11" s="19">
        <f t="shared" si="5"/>
        <v>3.9966213212412199E-2</v>
      </c>
      <c r="M11" s="19">
        <f t="shared" si="2"/>
        <v>7.4489861880238734E-2</v>
      </c>
      <c r="N11" s="19">
        <f t="shared" si="3"/>
        <v>7.5369542798212424E-2</v>
      </c>
    </row>
    <row r="12" spans="1:30" x14ac:dyDescent="0.3">
      <c r="A12" s="12" t="s">
        <v>7</v>
      </c>
      <c r="B12" s="12">
        <v>173.3</v>
      </c>
      <c r="C12" s="12">
        <v>164.4</v>
      </c>
      <c r="D12" s="12">
        <v>170</v>
      </c>
      <c r="E12" s="12" t="s">
        <v>51</v>
      </c>
      <c r="H12" s="15" t="str">
        <v>Fuel and light</v>
      </c>
      <c r="I12" s="15">
        <f t="shared" si="4"/>
        <v>182.5</v>
      </c>
      <c r="J12" s="15">
        <f t="shared" si="0"/>
        <v>183.4</v>
      </c>
      <c r="K12" s="15">
        <f t="shared" si="1"/>
        <v>182.8</v>
      </c>
      <c r="L12" s="19">
        <f t="shared" si="5"/>
        <v>4.0566373255090243E-2</v>
      </c>
      <c r="M12" s="19">
        <f t="shared" si="2"/>
        <v>3.9518196901463076E-2</v>
      </c>
      <c r="N12" s="19">
        <f t="shared" si="3"/>
        <v>3.9274664833276039E-2</v>
      </c>
    </row>
    <row r="13" spans="1:30" x14ac:dyDescent="0.3">
      <c r="A13" s="12" t="s">
        <v>8</v>
      </c>
      <c r="B13" s="12">
        <v>169</v>
      </c>
      <c r="C13" s="12">
        <v>175.8</v>
      </c>
      <c r="D13" s="12">
        <v>172.2</v>
      </c>
      <c r="E13" s="12" t="s">
        <v>51</v>
      </c>
      <c r="H13" s="15" t="str">
        <v>Health</v>
      </c>
      <c r="I13" s="15">
        <f t="shared" si="4"/>
        <v>187.8</v>
      </c>
      <c r="J13" s="15">
        <f t="shared" si="0"/>
        <v>182.2</v>
      </c>
      <c r="K13" s="15">
        <f t="shared" si="1"/>
        <v>185.7</v>
      </c>
      <c r="L13" s="19">
        <f t="shared" si="5"/>
        <v>4.1744465190717527E-2</v>
      </c>
      <c r="M13" s="19">
        <f t="shared" si="2"/>
        <v>3.9259626365575638E-2</v>
      </c>
      <c r="N13" s="19">
        <f t="shared" si="3"/>
        <v>3.9897731179099338E-2</v>
      </c>
    </row>
    <row r="14" spans="1:30" x14ac:dyDescent="0.3">
      <c r="A14" s="12" t="s">
        <v>9</v>
      </c>
      <c r="B14" s="12">
        <v>148.69999999999999</v>
      </c>
      <c r="C14" s="12">
        <v>185</v>
      </c>
      <c r="D14" s="12">
        <v>161</v>
      </c>
      <c r="E14" s="12" t="s">
        <v>51</v>
      </c>
      <c r="H14" s="15" t="str">
        <v>Transport</v>
      </c>
      <c r="I14" s="15">
        <f t="shared" si="4"/>
        <v>169.7</v>
      </c>
      <c r="J14" s="15">
        <f t="shared" si="0"/>
        <v>160.4</v>
      </c>
      <c r="K14" s="15">
        <f t="shared" si="1"/>
        <v>164.8</v>
      </c>
      <c r="L14" s="19">
        <f t="shared" si="5"/>
        <v>3.772117008980172E-2</v>
      </c>
      <c r="M14" s="19">
        <f t="shared" si="2"/>
        <v>3.4562261630287229E-2</v>
      </c>
      <c r="N14" s="19">
        <f t="shared" si="3"/>
        <v>3.5407356479889997E-2</v>
      </c>
    </row>
    <row r="15" spans="1:30" x14ac:dyDescent="0.3">
      <c r="A15" s="12" t="s">
        <v>10</v>
      </c>
      <c r="B15" s="12">
        <v>174.9</v>
      </c>
      <c r="C15" s="12">
        <v>176.9</v>
      </c>
      <c r="D15" s="12">
        <v>175.6</v>
      </c>
      <c r="E15" s="12" t="s">
        <v>51</v>
      </c>
      <c r="H15" s="15" t="str">
        <v>Recreation and amusement</v>
      </c>
      <c r="I15" s="15">
        <f t="shared" si="4"/>
        <v>173.8</v>
      </c>
      <c r="J15" s="15">
        <f t="shared" si="0"/>
        <v>169.2</v>
      </c>
      <c r="K15" s="15">
        <f t="shared" si="1"/>
        <v>171.2</v>
      </c>
      <c r="L15" s="19">
        <f t="shared" si="5"/>
        <v>3.8632524228683206E-2</v>
      </c>
      <c r="M15" s="19">
        <f t="shared" si="2"/>
        <v>3.6458445560128415E-2</v>
      </c>
      <c r="N15" s="19">
        <f t="shared" si="3"/>
        <v>3.6782399449982808E-2</v>
      </c>
    </row>
    <row r="16" spans="1:30" x14ac:dyDescent="0.3">
      <c r="A16" s="12" t="s">
        <v>11</v>
      </c>
      <c r="B16" s="12">
        <v>121.9</v>
      </c>
      <c r="C16" s="12">
        <v>124.2</v>
      </c>
      <c r="D16" s="12">
        <v>122.7</v>
      </c>
      <c r="E16" s="12" t="s">
        <v>51</v>
      </c>
      <c r="H16" s="15" t="str">
        <v>Education</v>
      </c>
      <c r="I16" s="15">
        <f t="shared" si="4"/>
        <v>180.3</v>
      </c>
      <c r="J16" s="15">
        <f t="shared" si="0"/>
        <v>174.8</v>
      </c>
      <c r="K16" s="15">
        <f t="shared" si="1"/>
        <v>177.1</v>
      </c>
      <c r="L16" s="19">
        <f t="shared" si="5"/>
        <v>4.0077353961056279E-2</v>
      </c>
      <c r="M16" s="19">
        <f t="shared" si="2"/>
        <v>3.7665108060936453E-2</v>
      </c>
      <c r="N16" s="19">
        <f t="shared" si="3"/>
        <v>3.8050017188037119E-2</v>
      </c>
    </row>
    <row r="17" spans="1:14" x14ac:dyDescent="0.3">
      <c r="A17" s="12" t="s">
        <v>12</v>
      </c>
      <c r="B17" s="12">
        <v>221</v>
      </c>
      <c r="C17" s="12">
        <v>211.9</v>
      </c>
      <c r="D17" s="12">
        <v>218</v>
      </c>
      <c r="E17" s="12" t="s">
        <v>51</v>
      </c>
      <c r="H17" s="15" t="str">
        <v>Personal care and effects</v>
      </c>
      <c r="I17" s="15">
        <f t="shared" si="4"/>
        <v>184.9</v>
      </c>
      <c r="J17" s="15">
        <f t="shared" si="0"/>
        <v>185.6</v>
      </c>
      <c r="K17" s="15">
        <f t="shared" si="1"/>
        <v>185.2</v>
      </c>
      <c r="L17" s="19">
        <f t="shared" si="5"/>
        <v>4.1099848848581845E-2</v>
      </c>
      <c r="M17" s="19">
        <f t="shared" si="2"/>
        <v>3.9992242883923369E-2</v>
      </c>
      <c r="N17" s="19">
        <f t="shared" si="3"/>
        <v>3.9790305947060838E-2</v>
      </c>
    </row>
    <row r="18" spans="1:14" x14ac:dyDescent="0.3">
      <c r="A18" s="12" t="s">
        <v>13</v>
      </c>
      <c r="B18" s="12">
        <v>178.7</v>
      </c>
      <c r="C18" s="12">
        <v>165.9</v>
      </c>
      <c r="D18" s="12">
        <v>173.4</v>
      </c>
      <c r="E18" s="12" t="s">
        <v>52</v>
      </c>
      <c r="H18" s="15" t="str">
        <v>Misc</v>
      </c>
      <c r="I18" s="15">
        <f t="shared" si="4"/>
        <v>179.5</v>
      </c>
      <c r="J18" s="15">
        <f t="shared" si="0"/>
        <v>171.6</v>
      </c>
      <c r="K18" s="15">
        <f t="shared" si="1"/>
        <v>175.7</v>
      </c>
      <c r="L18" s="19">
        <f t="shared" si="5"/>
        <v>3.989952876322575E-2</v>
      </c>
      <c r="M18" s="19">
        <f t="shared" si="2"/>
        <v>3.6975586631903291E-2</v>
      </c>
      <c r="N18" s="19">
        <f t="shared" si="3"/>
        <v>3.7749226538329315E-2</v>
      </c>
    </row>
    <row r="19" spans="1:14" x14ac:dyDescent="0.3">
      <c r="A19" s="12" t="s">
        <v>14</v>
      </c>
      <c r="B19" s="12">
        <v>191.1</v>
      </c>
      <c r="C19" s="12">
        <v>197.7</v>
      </c>
      <c r="D19" s="12">
        <v>194.2</v>
      </c>
      <c r="E19" s="12" t="s">
        <v>51</v>
      </c>
      <c r="H19" s="16" t="str">
        <v>GI</v>
      </c>
      <c r="I19" s="16">
        <f t="shared" si="4"/>
        <v>179.8</v>
      </c>
      <c r="J19" s="16">
        <f t="shared" si="0"/>
        <v>178.2</v>
      </c>
      <c r="K19" s="16">
        <f t="shared" si="1"/>
        <v>179.1</v>
      </c>
      <c r="L19" s="16" t="s">
        <v>48</v>
      </c>
      <c r="M19" s="16" t="s">
        <v>48</v>
      </c>
      <c r="N19" s="16" t="s">
        <v>48</v>
      </c>
    </row>
    <row r="20" spans="1:14" x14ac:dyDescent="0.3">
      <c r="A20" s="12" t="s">
        <v>15</v>
      </c>
      <c r="B20" s="12">
        <v>176.8</v>
      </c>
      <c r="C20" s="12">
        <v>183.1</v>
      </c>
      <c r="D20" s="12">
        <v>179.1</v>
      </c>
      <c r="E20" s="12" t="s">
        <v>51</v>
      </c>
      <c r="H20" s="17" t="s">
        <v>62</v>
      </c>
      <c r="I20" s="17">
        <f>SUM(I8:I18)</f>
        <v>4498.8</v>
      </c>
      <c r="J20" s="17">
        <f t="shared" ref="J20:N20" si="6">SUM(J8:J18)</f>
        <v>4640.9000000000005</v>
      </c>
      <c r="K20" s="17">
        <f t="shared" si="6"/>
        <v>4654.4000000000005</v>
      </c>
      <c r="L20" s="18">
        <f t="shared" si="6"/>
        <v>1</v>
      </c>
      <c r="M20" s="18">
        <f t="shared" si="6"/>
        <v>0.99999999999999989</v>
      </c>
      <c r="N20" s="18">
        <f t="shared" si="6"/>
        <v>0.99999999999999989</v>
      </c>
    </row>
    <row r="21" spans="1:14" x14ac:dyDescent="0.3">
      <c r="A21" s="12" t="s">
        <v>16</v>
      </c>
      <c r="B21" s="12">
        <v>199.9</v>
      </c>
      <c r="C21" s="12">
        <v>204.2</v>
      </c>
      <c r="D21" s="12">
        <v>201</v>
      </c>
      <c r="E21" s="12" t="s">
        <v>52</v>
      </c>
    </row>
    <row r="22" spans="1:14" x14ac:dyDescent="0.3">
      <c r="A22" s="12" t="s">
        <v>17</v>
      </c>
      <c r="B22" s="12">
        <v>191.2</v>
      </c>
      <c r="C22" s="12">
        <v>181.3</v>
      </c>
      <c r="D22" s="12">
        <v>187.3</v>
      </c>
      <c r="E22" s="12" t="s">
        <v>53</v>
      </c>
    </row>
    <row r="23" spans="1:14" x14ac:dyDescent="0.3">
      <c r="A23" s="12" t="s">
        <v>18</v>
      </c>
      <c r="B23" s="12">
        <v>187.9</v>
      </c>
      <c r="C23" s="12">
        <v>168.1</v>
      </c>
      <c r="D23" s="12">
        <v>179.7</v>
      </c>
      <c r="E23" s="12" t="s">
        <v>53</v>
      </c>
      <c r="H23" s="21" t="s">
        <v>50</v>
      </c>
      <c r="I23" s="21" t="s">
        <v>59</v>
      </c>
      <c r="J23" s="21" t="s">
        <v>60</v>
      </c>
      <c r="K23" s="21" t="s">
        <v>61</v>
      </c>
    </row>
    <row r="24" spans="1:14" x14ac:dyDescent="0.3">
      <c r="A24" s="12" t="s">
        <v>19</v>
      </c>
      <c r="B24" s="12">
        <v>190.8</v>
      </c>
      <c r="C24" s="12">
        <v>179.3</v>
      </c>
      <c r="D24" s="12">
        <v>186.2</v>
      </c>
      <c r="E24" s="12" t="s">
        <v>53</v>
      </c>
      <c r="H24" s="21" t="s">
        <v>51</v>
      </c>
      <c r="I24" s="29">
        <v>0.46945852227260609</v>
      </c>
      <c r="J24" s="29">
        <v>0.46740933870585449</v>
      </c>
      <c r="K24" s="29">
        <v>0.45838346510828459</v>
      </c>
    </row>
    <row r="25" spans="1:14" x14ac:dyDescent="0.3">
      <c r="A25" s="12" t="s">
        <v>20</v>
      </c>
      <c r="B25" s="12" t="s">
        <v>48</v>
      </c>
      <c r="C25" s="12">
        <v>175.6</v>
      </c>
      <c r="D25" s="12">
        <v>175.6</v>
      </c>
      <c r="E25" s="12" t="s">
        <v>20</v>
      </c>
      <c r="H25" s="21" t="s">
        <v>52</v>
      </c>
      <c r="I25" s="29">
        <v>8.4155774873299546E-2</v>
      </c>
      <c r="J25" s="29">
        <v>7.9747462776616596E-2</v>
      </c>
      <c r="K25" s="29">
        <v>8.0440013750429681E-2</v>
      </c>
    </row>
    <row r="26" spans="1:14" x14ac:dyDescent="0.3">
      <c r="A26" s="12" t="s">
        <v>21</v>
      </c>
      <c r="B26" s="12">
        <v>182.5</v>
      </c>
      <c r="C26" s="12">
        <v>183.4</v>
      </c>
      <c r="D26" s="12">
        <v>182.8</v>
      </c>
      <c r="E26" s="12" t="s">
        <v>21</v>
      </c>
      <c r="H26" s="21" t="s">
        <v>53</v>
      </c>
      <c r="I26" s="29">
        <v>0.12667822530452566</v>
      </c>
      <c r="J26" s="29">
        <v>0.11392186860307267</v>
      </c>
      <c r="K26" s="29">
        <v>0.11885527672739772</v>
      </c>
    </row>
    <row r="27" spans="1:14" x14ac:dyDescent="0.3">
      <c r="A27" s="12" t="s">
        <v>22</v>
      </c>
      <c r="B27" s="12">
        <v>179.8</v>
      </c>
      <c r="C27" s="12">
        <v>170.1</v>
      </c>
      <c r="D27" s="12">
        <v>175.2</v>
      </c>
      <c r="E27" s="12" t="s">
        <v>20</v>
      </c>
      <c r="H27" s="21" t="s">
        <v>20</v>
      </c>
      <c r="I27" s="29">
        <v>3.9966213212412199E-2</v>
      </c>
      <c r="J27" s="29">
        <v>7.4489861880238734E-2</v>
      </c>
      <c r="K27" s="29">
        <v>7.5369542798212424E-2</v>
      </c>
    </row>
    <row r="28" spans="1:14" x14ac:dyDescent="0.3">
      <c r="A28" s="12" t="s">
        <v>23</v>
      </c>
      <c r="B28" s="12">
        <v>187.8</v>
      </c>
      <c r="C28" s="12">
        <v>182.2</v>
      </c>
      <c r="D28" s="12">
        <v>185.7</v>
      </c>
      <c r="E28" s="12" t="s">
        <v>23</v>
      </c>
      <c r="H28" s="21" t="s">
        <v>21</v>
      </c>
      <c r="I28" s="29">
        <v>4.0566373255090243E-2</v>
      </c>
      <c r="J28" s="29">
        <v>3.9518196901463076E-2</v>
      </c>
      <c r="K28" s="29">
        <v>3.9274664833276039E-2</v>
      </c>
    </row>
    <row r="29" spans="1:14" x14ac:dyDescent="0.3">
      <c r="A29" s="12" t="s">
        <v>24</v>
      </c>
      <c r="B29" s="12">
        <v>169.7</v>
      </c>
      <c r="C29" s="12">
        <v>160.4</v>
      </c>
      <c r="D29" s="12">
        <v>164.8</v>
      </c>
      <c r="E29" s="12" t="s">
        <v>54</v>
      </c>
      <c r="H29" s="21" t="s">
        <v>23</v>
      </c>
      <c r="I29" s="29">
        <v>4.1744465190717527E-2</v>
      </c>
      <c r="J29" s="29">
        <v>3.9259626365575638E-2</v>
      </c>
      <c r="K29" s="29">
        <v>3.9897731179099338E-2</v>
      </c>
    </row>
    <row r="30" spans="1:14" x14ac:dyDescent="0.3">
      <c r="A30" s="12" t="s">
        <v>25</v>
      </c>
      <c r="B30" s="12">
        <v>173.8</v>
      </c>
      <c r="C30" s="12">
        <v>169.2</v>
      </c>
      <c r="D30" s="12">
        <v>171.2</v>
      </c>
      <c r="E30" s="12" t="s">
        <v>25</v>
      </c>
      <c r="H30" s="21" t="s">
        <v>54</v>
      </c>
      <c r="I30" s="29">
        <v>3.772117008980172E-2</v>
      </c>
      <c r="J30" s="29">
        <v>3.4562261630287229E-2</v>
      </c>
      <c r="K30" s="29">
        <v>3.5407356479889997E-2</v>
      </c>
    </row>
    <row r="31" spans="1:14" x14ac:dyDescent="0.3">
      <c r="A31" s="12" t="s">
        <v>26</v>
      </c>
      <c r="B31" s="12">
        <v>180.3</v>
      </c>
      <c r="C31" s="12">
        <v>174.8</v>
      </c>
      <c r="D31" s="12">
        <v>177.1</v>
      </c>
      <c r="E31" s="12" t="s">
        <v>26</v>
      </c>
      <c r="H31" s="21" t="s">
        <v>25</v>
      </c>
      <c r="I31" s="29">
        <v>3.8632524228683206E-2</v>
      </c>
      <c r="J31" s="29">
        <v>3.6458445560128415E-2</v>
      </c>
      <c r="K31" s="29">
        <v>3.6782399449982808E-2</v>
      </c>
    </row>
    <row r="32" spans="1:14" x14ac:dyDescent="0.3">
      <c r="A32" s="12" t="s">
        <v>27</v>
      </c>
      <c r="B32" s="12">
        <v>184.9</v>
      </c>
      <c r="C32" s="12">
        <v>185.6</v>
      </c>
      <c r="D32" s="12">
        <v>185.2</v>
      </c>
      <c r="E32" s="12" t="s">
        <v>27</v>
      </c>
      <c r="H32" s="21" t="s">
        <v>26</v>
      </c>
      <c r="I32" s="29">
        <v>4.0077353961056279E-2</v>
      </c>
      <c r="J32" s="29">
        <v>3.7665108060936453E-2</v>
      </c>
      <c r="K32" s="29">
        <v>3.8050017188037119E-2</v>
      </c>
    </row>
    <row r="33" spans="1:11" x14ac:dyDescent="0.3">
      <c r="A33" s="12" t="s">
        <v>28</v>
      </c>
      <c r="B33" s="12">
        <v>179.5</v>
      </c>
      <c r="C33" s="12">
        <v>171.6</v>
      </c>
      <c r="D33" s="12">
        <v>175.7</v>
      </c>
      <c r="E33" s="12" t="s">
        <v>58</v>
      </c>
      <c r="H33" s="21" t="s">
        <v>27</v>
      </c>
      <c r="I33" s="29">
        <v>4.1099848848581845E-2</v>
      </c>
      <c r="J33" s="29">
        <v>3.9992242883923369E-2</v>
      </c>
      <c r="K33" s="29">
        <v>3.9790305947060838E-2</v>
      </c>
    </row>
    <row r="34" spans="1:11" x14ac:dyDescent="0.3">
      <c r="A34" s="14" t="s">
        <v>29</v>
      </c>
      <c r="B34" s="14">
        <v>179.8</v>
      </c>
      <c r="C34" s="14">
        <v>178.2</v>
      </c>
      <c r="D34" s="14">
        <v>179.1</v>
      </c>
      <c r="E34" s="14" t="s">
        <v>55</v>
      </c>
      <c r="H34" s="21" t="s">
        <v>58</v>
      </c>
      <c r="I34" s="29">
        <v>3.989952876322575E-2</v>
      </c>
      <c r="J34" s="29">
        <v>3.6975586631903291E-2</v>
      </c>
      <c r="K34" s="29">
        <v>3.7749226538329315E-2</v>
      </c>
    </row>
    <row r="35" spans="1:11" x14ac:dyDescent="0.3">
      <c r="H35" s="30" t="s">
        <v>55</v>
      </c>
      <c r="I35" s="31" t="s">
        <v>48</v>
      </c>
      <c r="J35" s="31" t="s">
        <v>48</v>
      </c>
      <c r="K35" s="31" t="s">
        <v>48</v>
      </c>
    </row>
    <row r="36" spans="1:11" x14ac:dyDescent="0.3">
      <c r="H36" s="21" t="s">
        <v>62</v>
      </c>
      <c r="I36" s="29">
        <v>1</v>
      </c>
      <c r="J36" s="29">
        <v>0.99999999999999989</v>
      </c>
      <c r="K36" s="29">
        <v>0.99999999999999989</v>
      </c>
    </row>
  </sheetData>
  <mergeCells count="1">
    <mergeCell ref="A6:E6"/>
  </mergeCells>
  <pageMargins left="0.7" right="0.7" top="0.75" bottom="0.75" header="0.3" footer="0.3"/>
  <drawing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93FAFD-BD71-451B-BEF0-7E55583558A1}">
  <dimension ref="A1:AD136"/>
  <sheetViews>
    <sheetView topLeftCell="A67" workbookViewId="0">
      <selection activeCell="E77" sqref="E77"/>
    </sheetView>
  </sheetViews>
  <sheetFormatPr defaultRowHeight="14.4" x14ac:dyDescent="0.3"/>
  <cols>
    <col min="1" max="1" width="30.44140625" bestFit="1" customWidth="1"/>
    <col min="2" max="2" width="11.88671875" bestFit="1" customWidth="1"/>
    <col min="3" max="3" width="23.6640625" bestFit="1" customWidth="1"/>
    <col min="5" max="5" width="23.6640625" bestFit="1" customWidth="1"/>
    <col min="6" max="6" width="12" bestFit="1" customWidth="1"/>
    <col min="7" max="7" width="20.5546875" customWidth="1"/>
    <col min="8" max="8" width="23.6640625" bestFit="1" customWidth="1"/>
    <col min="9" max="9" width="13.77734375" customWidth="1"/>
    <col min="10" max="10" width="22.109375" customWidth="1"/>
  </cols>
  <sheetData>
    <row r="1" spans="1:30" x14ac:dyDescent="0.3">
      <c r="A1" s="1"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7" t="s">
        <v>29</v>
      </c>
    </row>
    <row r="2" spans="1:30" x14ac:dyDescent="0.3">
      <c r="A2" s="3" t="s">
        <v>34</v>
      </c>
      <c r="B2" s="4">
        <v>2017</v>
      </c>
      <c r="C2" s="4" t="s">
        <v>31</v>
      </c>
      <c r="D2" s="4">
        <v>132.80000000000001</v>
      </c>
      <c r="E2" s="4">
        <v>138.19999999999999</v>
      </c>
      <c r="F2" s="4">
        <v>132.19999999999999</v>
      </c>
      <c r="G2" s="4">
        <v>135.4</v>
      </c>
      <c r="H2" s="4">
        <v>119.1</v>
      </c>
      <c r="I2" s="4">
        <v>133</v>
      </c>
      <c r="J2" s="4">
        <v>119.4</v>
      </c>
      <c r="K2" s="4">
        <v>159.5</v>
      </c>
      <c r="L2" s="4">
        <v>115.6</v>
      </c>
      <c r="M2" s="4">
        <v>139.6</v>
      </c>
      <c r="N2" s="4">
        <v>126.6</v>
      </c>
      <c r="O2" s="4">
        <v>142.80000000000001</v>
      </c>
      <c r="P2" s="4">
        <v>133.1</v>
      </c>
      <c r="Q2" s="4">
        <v>143.80000000000001</v>
      </c>
      <c r="R2" s="4">
        <v>136.6</v>
      </c>
      <c r="S2" s="4">
        <v>130.19999999999999</v>
      </c>
      <c r="T2" s="4">
        <v>135.6</v>
      </c>
      <c r="U2" s="4">
        <v>129.6</v>
      </c>
      <c r="V2" s="4">
        <v>126.8</v>
      </c>
      <c r="W2" s="4">
        <v>129.4</v>
      </c>
      <c r="X2" s="4">
        <v>127.1</v>
      </c>
      <c r="Y2" s="4">
        <v>117</v>
      </c>
      <c r="Z2" s="4">
        <v>124.2</v>
      </c>
      <c r="AA2" s="4">
        <v>133.30000000000001</v>
      </c>
      <c r="AB2" s="4">
        <v>121.7</v>
      </c>
      <c r="AC2" s="4">
        <v>124.4</v>
      </c>
      <c r="AD2" s="8">
        <v>130.30000000000001</v>
      </c>
    </row>
    <row r="3" spans="1:30" x14ac:dyDescent="0.3">
      <c r="A3" s="5" t="s">
        <v>34</v>
      </c>
      <c r="B3" s="6">
        <v>2017</v>
      </c>
      <c r="C3" s="6" t="s">
        <v>35</v>
      </c>
      <c r="D3" s="6">
        <v>133.1</v>
      </c>
      <c r="E3" s="6">
        <v>138.80000000000001</v>
      </c>
      <c r="F3" s="6">
        <v>129.30000000000001</v>
      </c>
      <c r="G3" s="6">
        <v>135.80000000000001</v>
      </c>
      <c r="H3" s="6">
        <v>119.2</v>
      </c>
      <c r="I3" s="6">
        <v>135.30000000000001</v>
      </c>
      <c r="J3" s="6">
        <v>119.5</v>
      </c>
      <c r="K3" s="6">
        <v>152.19999999999999</v>
      </c>
      <c r="L3" s="6">
        <v>117.3</v>
      </c>
      <c r="M3" s="6">
        <v>138.69999999999999</v>
      </c>
      <c r="N3" s="6">
        <v>126.9</v>
      </c>
      <c r="O3" s="6">
        <v>143.19999999999999</v>
      </c>
      <c r="P3" s="6">
        <v>133</v>
      </c>
      <c r="Q3" s="6">
        <v>144.4</v>
      </c>
      <c r="R3" s="6">
        <v>136.80000000000001</v>
      </c>
      <c r="S3" s="6">
        <v>130.30000000000001</v>
      </c>
      <c r="T3" s="6">
        <v>135.9</v>
      </c>
      <c r="U3" s="6">
        <v>130.5</v>
      </c>
      <c r="V3" s="6">
        <v>127.9</v>
      </c>
      <c r="W3" s="6">
        <v>129.69999999999999</v>
      </c>
      <c r="X3" s="6">
        <v>127.4</v>
      </c>
      <c r="Y3" s="6">
        <v>117.4</v>
      </c>
      <c r="Z3" s="6">
        <v>124.6</v>
      </c>
      <c r="AA3" s="6">
        <v>133.4</v>
      </c>
      <c r="AB3" s="6">
        <v>122.6</v>
      </c>
      <c r="AC3" s="6">
        <v>124.8</v>
      </c>
      <c r="AD3" s="9">
        <v>130.6</v>
      </c>
    </row>
    <row r="4" spans="1:30" x14ac:dyDescent="0.3">
      <c r="A4" s="3" t="s">
        <v>34</v>
      </c>
      <c r="B4" s="4">
        <v>2017</v>
      </c>
      <c r="C4" s="4" t="s">
        <v>36</v>
      </c>
      <c r="D4" s="4">
        <v>133.30000000000001</v>
      </c>
      <c r="E4" s="4">
        <v>139</v>
      </c>
      <c r="F4" s="4">
        <v>128.6</v>
      </c>
      <c r="G4" s="4">
        <v>136.30000000000001</v>
      </c>
      <c r="H4" s="4">
        <v>118.8</v>
      </c>
      <c r="I4" s="4">
        <v>138.30000000000001</v>
      </c>
      <c r="J4" s="4">
        <v>120.5</v>
      </c>
      <c r="K4" s="4">
        <v>143.9</v>
      </c>
      <c r="L4" s="4">
        <v>118</v>
      </c>
      <c r="M4" s="4">
        <v>137.9</v>
      </c>
      <c r="N4" s="4">
        <v>127.2</v>
      </c>
      <c r="O4" s="4">
        <v>144</v>
      </c>
      <c r="P4" s="4">
        <v>133.1</v>
      </c>
      <c r="Q4" s="4">
        <v>145.1</v>
      </c>
      <c r="R4" s="4">
        <v>137.30000000000001</v>
      </c>
      <c r="S4" s="4">
        <v>130.6</v>
      </c>
      <c r="T4" s="4">
        <v>136.4</v>
      </c>
      <c r="U4" s="4">
        <v>131.1</v>
      </c>
      <c r="V4" s="4">
        <v>129.1</v>
      </c>
      <c r="W4" s="4">
        <v>130.1</v>
      </c>
      <c r="X4" s="4">
        <v>127.8</v>
      </c>
      <c r="Y4" s="4">
        <v>117.6</v>
      </c>
      <c r="Z4" s="4">
        <v>125</v>
      </c>
      <c r="AA4" s="4">
        <v>133.80000000000001</v>
      </c>
      <c r="AB4" s="4">
        <v>122.6</v>
      </c>
      <c r="AC4" s="4">
        <v>125.1</v>
      </c>
      <c r="AD4" s="8">
        <v>130.9</v>
      </c>
    </row>
    <row r="5" spans="1:30" x14ac:dyDescent="0.3">
      <c r="A5" s="5" t="s">
        <v>34</v>
      </c>
      <c r="B5" s="6">
        <v>2017</v>
      </c>
      <c r="C5" s="6" t="s">
        <v>37</v>
      </c>
      <c r="D5" s="6">
        <v>133</v>
      </c>
      <c r="E5" s="6">
        <v>139.4</v>
      </c>
      <c r="F5" s="6">
        <v>126.1</v>
      </c>
      <c r="G5" s="6">
        <v>137.19999999999999</v>
      </c>
      <c r="H5" s="6">
        <v>118.4</v>
      </c>
      <c r="I5" s="6">
        <v>139.9</v>
      </c>
      <c r="J5" s="6">
        <v>123.4</v>
      </c>
      <c r="K5" s="6">
        <v>140.9</v>
      </c>
      <c r="L5" s="6">
        <v>118.5</v>
      </c>
      <c r="M5" s="6">
        <v>136.5</v>
      </c>
      <c r="N5" s="6">
        <v>127.4</v>
      </c>
      <c r="O5" s="6">
        <v>144.19999999999999</v>
      </c>
      <c r="P5" s="6">
        <v>133.5</v>
      </c>
      <c r="Q5" s="6">
        <v>145.4</v>
      </c>
      <c r="R5" s="6">
        <v>138</v>
      </c>
      <c r="S5" s="6">
        <v>131.1</v>
      </c>
      <c r="T5" s="6">
        <v>137</v>
      </c>
      <c r="U5" s="6">
        <v>131.69999999999999</v>
      </c>
      <c r="V5" s="6">
        <v>129.80000000000001</v>
      </c>
      <c r="W5" s="6">
        <v>130.4</v>
      </c>
      <c r="X5" s="6">
        <v>128.1</v>
      </c>
      <c r="Y5" s="6">
        <v>116.6</v>
      </c>
      <c r="Z5" s="6">
        <v>125.1</v>
      </c>
      <c r="AA5" s="6">
        <v>134.5</v>
      </c>
      <c r="AB5" s="6">
        <v>123.1</v>
      </c>
      <c r="AC5" s="6">
        <v>125.1</v>
      </c>
      <c r="AD5" s="9">
        <v>131.1</v>
      </c>
    </row>
    <row r="6" spans="1:30" x14ac:dyDescent="0.3">
      <c r="A6" s="3" t="s">
        <v>34</v>
      </c>
      <c r="B6" s="4">
        <v>2017</v>
      </c>
      <c r="C6" s="4" t="s">
        <v>38</v>
      </c>
      <c r="D6" s="4">
        <v>132.9</v>
      </c>
      <c r="E6" s="4">
        <v>141.6</v>
      </c>
      <c r="F6" s="4">
        <v>126.3</v>
      </c>
      <c r="G6" s="4">
        <v>137.69999999999999</v>
      </c>
      <c r="H6" s="4">
        <v>118.1</v>
      </c>
      <c r="I6" s="4">
        <v>137.9</v>
      </c>
      <c r="J6" s="4">
        <v>125.6</v>
      </c>
      <c r="K6" s="4">
        <v>138.30000000000001</v>
      </c>
      <c r="L6" s="4">
        <v>119.4</v>
      </c>
      <c r="M6" s="4">
        <v>136</v>
      </c>
      <c r="N6" s="4">
        <v>127.6</v>
      </c>
      <c r="O6" s="4">
        <v>144.5</v>
      </c>
      <c r="P6" s="4">
        <v>133.69999999999999</v>
      </c>
      <c r="Q6" s="4">
        <v>146.19999999999999</v>
      </c>
      <c r="R6" s="4">
        <v>138.19999999999999</v>
      </c>
      <c r="S6" s="4">
        <v>131.4</v>
      </c>
      <c r="T6" s="4">
        <v>137.19999999999999</v>
      </c>
      <c r="U6" s="4">
        <v>132.1</v>
      </c>
      <c r="V6" s="4">
        <v>129.4</v>
      </c>
      <c r="W6" s="4">
        <v>130.9</v>
      </c>
      <c r="X6" s="4">
        <v>128.4</v>
      </c>
      <c r="Y6" s="4">
        <v>116.7</v>
      </c>
      <c r="Z6" s="4">
        <v>125.7</v>
      </c>
      <c r="AA6" s="4">
        <v>134.80000000000001</v>
      </c>
      <c r="AB6" s="4">
        <v>123</v>
      </c>
      <c r="AC6" s="4">
        <v>125.3</v>
      </c>
      <c r="AD6" s="8">
        <v>131.4</v>
      </c>
    </row>
    <row r="7" spans="1:30" x14ac:dyDescent="0.3">
      <c r="A7" s="5" t="s">
        <v>34</v>
      </c>
      <c r="B7" s="6">
        <v>2017</v>
      </c>
      <c r="C7" s="6" t="s">
        <v>39</v>
      </c>
      <c r="D7" s="6">
        <v>133.30000000000001</v>
      </c>
      <c r="E7" s="6">
        <v>145.5</v>
      </c>
      <c r="F7" s="6">
        <v>128.1</v>
      </c>
      <c r="G7" s="6">
        <v>138.1</v>
      </c>
      <c r="H7" s="6">
        <v>118.2</v>
      </c>
      <c r="I7" s="6">
        <v>139.19999999999999</v>
      </c>
      <c r="J7" s="6">
        <v>133.30000000000001</v>
      </c>
      <c r="K7" s="6">
        <v>136.19999999999999</v>
      </c>
      <c r="L7" s="6">
        <v>119.6</v>
      </c>
      <c r="M7" s="6">
        <v>135.30000000000001</v>
      </c>
      <c r="N7" s="6">
        <v>127.8</v>
      </c>
      <c r="O7" s="6">
        <v>144.9</v>
      </c>
      <c r="P7" s="6">
        <v>135.19999999999999</v>
      </c>
      <c r="Q7" s="6">
        <v>146.5</v>
      </c>
      <c r="R7" s="6">
        <v>138.5</v>
      </c>
      <c r="S7" s="6">
        <v>131.69999999999999</v>
      </c>
      <c r="T7" s="6">
        <v>137.5</v>
      </c>
      <c r="U7" s="6">
        <v>131.4</v>
      </c>
      <c r="V7" s="6">
        <v>128.80000000000001</v>
      </c>
      <c r="W7" s="6">
        <v>131.19999999999999</v>
      </c>
      <c r="X7" s="6">
        <v>128.5</v>
      </c>
      <c r="Y7" s="6">
        <v>116.5</v>
      </c>
      <c r="Z7" s="6">
        <v>125.9</v>
      </c>
      <c r="AA7" s="6">
        <v>135.4</v>
      </c>
      <c r="AB7" s="6">
        <v>123.4</v>
      </c>
      <c r="AC7" s="6">
        <v>125.5</v>
      </c>
      <c r="AD7" s="9">
        <v>132</v>
      </c>
    </row>
    <row r="8" spans="1:30" x14ac:dyDescent="0.3">
      <c r="A8" s="3" t="s">
        <v>34</v>
      </c>
      <c r="B8" s="4">
        <v>2017</v>
      </c>
      <c r="C8" s="4" t="s">
        <v>40</v>
      </c>
      <c r="D8" s="4">
        <v>133.6</v>
      </c>
      <c r="E8" s="4">
        <v>145.69999999999999</v>
      </c>
      <c r="F8" s="4">
        <v>129.6</v>
      </c>
      <c r="G8" s="4">
        <v>138.5</v>
      </c>
      <c r="H8" s="4">
        <v>118.1</v>
      </c>
      <c r="I8" s="4">
        <v>141.80000000000001</v>
      </c>
      <c r="J8" s="4">
        <v>159.5</v>
      </c>
      <c r="K8" s="4">
        <v>133.6</v>
      </c>
      <c r="L8" s="4">
        <v>120.5</v>
      </c>
      <c r="M8" s="4">
        <v>135.19999999999999</v>
      </c>
      <c r="N8" s="4">
        <v>128.5</v>
      </c>
      <c r="O8" s="4">
        <v>145.80000000000001</v>
      </c>
      <c r="P8" s="4">
        <v>139</v>
      </c>
      <c r="Q8" s="4">
        <v>148.19999999999999</v>
      </c>
      <c r="R8" s="4">
        <v>139.30000000000001</v>
      </c>
      <c r="S8" s="4">
        <v>132.1</v>
      </c>
      <c r="T8" s="4">
        <v>138.30000000000001</v>
      </c>
      <c r="U8" s="4">
        <v>132.6</v>
      </c>
      <c r="V8" s="4">
        <v>129.4</v>
      </c>
      <c r="W8" s="4">
        <v>131.9</v>
      </c>
      <c r="X8" s="4">
        <v>129.4</v>
      </c>
      <c r="Y8" s="4">
        <v>116</v>
      </c>
      <c r="Z8" s="4">
        <v>126.6</v>
      </c>
      <c r="AA8" s="4">
        <v>136.80000000000001</v>
      </c>
      <c r="AB8" s="4">
        <v>123.6</v>
      </c>
      <c r="AC8" s="4">
        <v>125.9</v>
      </c>
      <c r="AD8" s="8">
        <v>134.19999999999999</v>
      </c>
    </row>
    <row r="9" spans="1:30" x14ac:dyDescent="0.3">
      <c r="A9" s="5" t="s">
        <v>34</v>
      </c>
      <c r="B9" s="6">
        <v>2017</v>
      </c>
      <c r="C9" s="6" t="s">
        <v>41</v>
      </c>
      <c r="D9" s="6">
        <v>134.30000000000001</v>
      </c>
      <c r="E9" s="6">
        <v>143.4</v>
      </c>
      <c r="F9" s="6">
        <v>129.30000000000001</v>
      </c>
      <c r="G9" s="6">
        <v>139</v>
      </c>
      <c r="H9" s="6">
        <v>118.1</v>
      </c>
      <c r="I9" s="6">
        <v>145.5</v>
      </c>
      <c r="J9" s="6">
        <v>168.6</v>
      </c>
      <c r="K9" s="6">
        <v>132.69999999999999</v>
      </c>
      <c r="L9" s="6">
        <v>121.2</v>
      </c>
      <c r="M9" s="6">
        <v>135.6</v>
      </c>
      <c r="N9" s="6">
        <v>128.69999999999999</v>
      </c>
      <c r="O9" s="6">
        <v>146.80000000000001</v>
      </c>
      <c r="P9" s="6">
        <v>140.6</v>
      </c>
      <c r="Q9" s="6">
        <v>149.80000000000001</v>
      </c>
      <c r="R9" s="6">
        <v>140.30000000000001</v>
      </c>
      <c r="S9" s="6">
        <v>133</v>
      </c>
      <c r="T9" s="6">
        <v>139.30000000000001</v>
      </c>
      <c r="U9" s="6">
        <v>134.4</v>
      </c>
      <c r="V9" s="6">
        <v>129.80000000000001</v>
      </c>
      <c r="W9" s="6">
        <v>132.80000000000001</v>
      </c>
      <c r="X9" s="6">
        <v>130.19999999999999</v>
      </c>
      <c r="Y9" s="6">
        <v>117.3</v>
      </c>
      <c r="Z9" s="6">
        <v>127.3</v>
      </c>
      <c r="AA9" s="6">
        <v>137.6</v>
      </c>
      <c r="AB9" s="6">
        <v>124.5</v>
      </c>
      <c r="AC9" s="6">
        <v>126.8</v>
      </c>
      <c r="AD9" s="9">
        <v>135.4</v>
      </c>
    </row>
    <row r="10" spans="1:30" x14ac:dyDescent="0.3">
      <c r="A10" s="3" t="s">
        <v>34</v>
      </c>
      <c r="B10" s="4">
        <v>2017</v>
      </c>
      <c r="C10" s="4" t="s">
        <v>42</v>
      </c>
      <c r="D10" s="4">
        <v>134.69999999999999</v>
      </c>
      <c r="E10" s="4">
        <v>142.4</v>
      </c>
      <c r="F10" s="4">
        <v>130.19999999999999</v>
      </c>
      <c r="G10" s="4">
        <v>139.6</v>
      </c>
      <c r="H10" s="4">
        <v>118.4</v>
      </c>
      <c r="I10" s="4">
        <v>143</v>
      </c>
      <c r="J10" s="4">
        <v>156.6</v>
      </c>
      <c r="K10" s="4">
        <v>132.9</v>
      </c>
      <c r="L10" s="4">
        <v>121.5</v>
      </c>
      <c r="M10" s="4">
        <v>135.6</v>
      </c>
      <c r="N10" s="4">
        <v>128.80000000000001</v>
      </c>
      <c r="O10" s="4">
        <v>147.30000000000001</v>
      </c>
      <c r="P10" s="4">
        <v>139</v>
      </c>
      <c r="Q10" s="4">
        <v>150.80000000000001</v>
      </c>
      <c r="R10" s="4">
        <v>141.1</v>
      </c>
      <c r="S10" s="4">
        <v>133.4</v>
      </c>
      <c r="T10" s="4">
        <v>140</v>
      </c>
      <c r="U10" s="4">
        <v>135.69999999999999</v>
      </c>
      <c r="V10" s="4">
        <v>131</v>
      </c>
      <c r="W10" s="4">
        <v>133.30000000000001</v>
      </c>
      <c r="X10" s="4">
        <v>130.6</v>
      </c>
      <c r="Y10" s="4">
        <v>118.3</v>
      </c>
      <c r="Z10" s="4">
        <v>127.9</v>
      </c>
      <c r="AA10" s="4">
        <v>137.4</v>
      </c>
      <c r="AB10" s="4">
        <v>125.7</v>
      </c>
      <c r="AC10" s="4">
        <v>127.5</v>
      </c>
      <c r="AD10" s="8">
        <v>135.19999999999999</v>
      </c>
    </row>
    <row r="11" spans="1:30" x14ac:dyDescent="0.3">
      <c r="A11" s="5" t="s">
        <v>34</v>
      </c>
      <c r="B11" s="6">
        <v>2017</v>
      </c>
      <c r="C11" s="6" t="s">
        <v>43</v>
      </c>
      <c r="D11" s="6">
        <v>135.30000000000001</v>
      </c>
      <c r="E11" s="6">
        <v>142.19999999999999</v>
      </c>
      <c r="F11" s="6">
        <v>131.19999999999999</v>
      </c>
      <c r="G11" s="6">
        <v>140.6</v>
      </c>
      <c r="H11" s="6">
        <v>119</v>
      </c>
      <c r="I11" s="6">
        <v>141.5</v>
      </c>
      <c r="J11" s="6">
        <v>162.6</v>
      </c>
      <c r="K11" s="6">
        <v>132.30000000000001</v>
      </c>
      <c r="L11" s="6">
        <v>121.8</v>
      </c>
      <c r="M11" s="6">
        <v>136.30000000000001</v>
      </c>
      <c r="N11" s="6">
        <v>128.69999999999999</v>
      </c>
      <c r="O11" s="6">
        <v>148.1</v>
      </c>
      <c r="P11" s="6">
        <v>140.1</v>
      </c>
      <c r="Q11" s="6">
        <v>151.6</v>
      </c>
      <c r="R11" s="6">
        <v>142</v>
      </c>
      <c r="S11" s="6">
        <v>134.1</v>
      </c>
      <c r="T11" s="6">
        <v>140.80000000000001</v>
      </c>
      <c r="U11" s="6">
        <v>137.30000000000001</v>
      </c>
      <c r="V11" s="6">
        <v>132.19999999999999</v>
      </c>
      <c r="W11" s="6">
        <v>133.6</v>
      </c>
      <c r="X11" s="6">
        <v>131.30000000000001</v>
      </c>
      <c r="Y11" s="6">
        <v>117.8</v>
      </c>
      <c r="Z11" s="6">
        <v>128.4</v>
      </c>
      <c r="AA11" s="6">
        <v>137.9</v>
      </c>
      <c r="AB11" s="6">
        <v>126.2</v>
      </c>
      <c r="AC11" s="6">
        <v>127.7</v>
      </c>
      <c r="AD11" s="9">
        <v>136.1</v>
      </c>
    </row>
    <row r="12" spans="1:30" x14ac:dyDescent="0.3">
      <c r="A12" s="3" t="s">
        <v>34</v>
      </c>
      <c r="B12" s="4">
        <v>2017</v>
      </c>
      <c r="C12" s="4" t="s">
        <v>45</v>
      </c>
      <c r="D12" s="4">
        <v>135.69999999999999</v>
      </c>
      <c r="E12" s="4">
        <v>142.4</v>
      </c>
      <c r="F12" s="4">
        <v>142.9</v>
      </c>
      <c r="G12" s="4">
        <v>140.80000000000001</v>
      </c>
      <c r="H12" s="4">
        <v>119.2</v>
      </c>
      <c r="I12" s="4">
        <v>142.19999999999999</v>
      </c>
      <c r="J12" s="4">
        <v>173.8</v>
      </c>
      <c r="K12" s="4">
        <v>131.19999999999999</v>
      </c>
      <c r="L12" s="4">
        <v>123</v>
      </c>
      <c r="M12" s="4">
        <v>136.80000000000001</v>
      </c>
      <c r="N12" s="4">
        <v>129.19999999999999</v>
      </c>
      <c r="O12" s="4">
        <v>148.9</v>
      </c>
      <c r="P12" s="4">
        <v>142.1</v>
      </c>
      <c r="Q12" s="4">
        <v>153.19999999999999</v>
      </c>
      <c r="R12" s="4">
        <v>143</v>
      </c>
      <c r="S12" s="4">
        <v>134.80000000000001</v>
      </c>
      <c r="T12" s="4">
        <v>141.80000000000001</v>
      </c>
      <c r="U12" s="4">
        <v>138.6</v>
      </c>
      <c r="V12" s="4">
        <v>135.30000000000001</v>
      </c>
      <c r="W12" s="4">
        <v>134.4</v>
      </c>
      <c r="X12" s="4">
        <v>132.6</v>
      </c>
      <c r="Y12" s="4">
        <v>118.3</v>
      </c>
      <c r="Z12" s="4">
        <v>128.9</v>
      </c>
      <c r="AA12" s="4">
        <v>138.6</v>
      </c>
      <c r="AB12" s="4">
        <v>126.8</v>
      </c>
      <c r="AC12" s="4">
        <v>128.4</v>
      </c>
      <c r="AD12" s="8">
        <v>137.6</v>
      </c>
    </row>
    <row r="13" spans="1:30" x14ac:dyDescent="0.3">
      <c r="A13" s="5" t="s">
        <v>34</v>
      </c>
      <c r="B13" s="6">
        <v>2017</v>
      </c>
      <c r="C13" s="6" t="s">
        <v>46</v>
      </c>
      <c r="D13" s="6">
        <v>135.80000000000001</v>
      </c>
      <c r="E13" s="6">
        <v>143.30000000000001</v>
      </c>
      <c r="F13" s="6">
        <v>145.19999999999999</v>
      </c>
      <c r="G13" s="6">
        <v>141</v>
      </c>
      <c r="H13" s="6">
        <v>120.5</v>
      </c>
      <c r="I13" s="6">
        <v>141.5</v>
      </c>
      <c r="J13" s="6">
        <v>161.69999999999999</v>
      </c>
      <c r="K13" s="6">
        <v>129.1</v>
      </c>
      <c r="L13" s="6">
        <v>121.5</v>
      </c>
      <c r="M13" s="6">
        <v>137.1</v>
      </c>
      <c r="N13" s="6">
        <v>128.80000000000001</v>
      </c>
      <c r="O13" s="6">
        <v>149</v>
      </c>
      <c r="P13" s="6">
        <v>140.5</v>
      </c>
      <c r="Q13" s="6">
        <v>154.19999999999999</v>
      </c>
      <c r="R13" s="6">
        <v>143.1</v>
      </c>
      <c r="S13" s="6">
        <v>135.1</v>
      </c>
      <c r="T13" s="6">
        <v>142</v>
      </c>
      <c r="U13" s="6">
        <v>139.1</v>
      </c>
      <c r="V13" s="6">
        <v>136.6</v>
      </c>
      <c r="W13" s="6">
        <v>134.69999999999999</v>
      </c>
      <c r="X13" s="6">
        <v>133.1</v>
      </c>
      <c r="Y13" s="6">
        <v>118.5</v>
      </c>
      <c r="Z13" s="6">
        <v>129</v>
      </c>
      <c r="AA13" s="6">
        <v>138.5</v>
      </c>
      <c r="AB13" s="6">
        <v>126.5</v>
      </c>
      <c r="AC13" s="6">
        <v>128.6</v>
      </c>
      <c r="AD13" s="9">
        <v>137.19999999999999</v>
      </c>
    </row>
    <row r="14" spans="1:30" x14ac:dyDescent="0.3">
      <c r="A14" s="3" t="s">
        <v>34</v>
      </c>
      <c r="B14" s="4">
        <v>2018</v>
      </c>
      <c r="C14" s="4" t="s">
        <v>31</v>
      </c>
      <c r="D14" s="4">
        <v>136</v>
      </c>
      <c r="E14" s="4">
        <v>144.19999999999999</v>
      </c>
      <c r="F14" s="4">
        <v>143.69999999999999</v>
      </c>
      <c r="G14" s="4">
        <v>141.1</v>
      </c>
      <c r="H14" s="4">
        <v>120.7</v>
      </c>
      <c r="I14" s="4">
        <v>141.30000000000001</v>
      </c>
      <c r="J14" s="4">
        <v>151.6</v>
      </c>
      <c r="K14" s="4">
        <v>127.3</v>
      </c>
      <c r="L14" s="4">
        <v>118.8</v>
      </c>
      <c r="M14" s="4">
        <v>137.5</v>
      </c>
      <c r="N14" s="4">
        <v>129</v>
      </c>
      <c r="O14" s="4">
        <v>149.5</v>
      </c>
      <c r="P14" s="4">
        <v>139.19999999999999</v>
      </c>
      <c r="Q14" s="4">
        <v>154.69999999999999</v>
      </c>
      <c r="R14" s="4">
        <v>143.5</v>
      </c>
      <c r="S14" s="4">
        <v>135.5</v>
      </c>
      <c r="T14" s="4">
        <v>142.30000000000001</v>
      </c>
      <c r="U14" s="4">
        <v>140.4</v>
      </c>
      <c r="V14" s="4">
        <v>136.6</v>
      </c>
      <c r="W14" s="4">
        <v>134.9</v>
      </c>
      <c r="X14" s="4">
        <v>133.30000000000001</v>
      </c>
      <c r="Y14" s="4">
        <v>119.3</v>
      </c>
      <c r="Z14" s="4">
        <v>129.69999999999999</v>
      </c>
      <c r="AA14" s="4">
        <v>139</v>
      </c>
      <c r="AB14" s="4">
        <v>127.3</v>
      </c>
      <c r="AC14" s="4">
        <v>129.1</v>
      </c>
      <c r="AD14" s="8">
        <v>136.9</v>
      </c>
    </row>
    <row r="15" spans="1:30" x14ac:dyDescent="0.3">
      <c r="A15" s="5" t="s">
        <v>34</v>
      </c>
      <c r="B15" s="6">
        <v>2018</v>
      </c>
      <c r="C15" s="6" t="s">
        <v>35</v>
      </c>
      <c r="D15" s="6">
        <v>135.9</v>
      </c>
      <c r="E15" s="6">
        <v>143.5</v>
      </c>
      <c r="F15" s="6">
        <v>140.30000000000001</v>
      </c>
      <c r="G15" s="6">
        <v>140.9</v>
      </c>
      <c r="H15" s="6">
        <v>120.4</v>
      </c>
      <c r="I15" s="6">
        <v>142.9</v>
      </c>
      <c r="J15" s="6">
        <v>140.5</v>
      </c>
      <c r="K15" s="6">
        <v>125.8</v>
      </c>
      <c r="L15" s="6">
        <v>117.1</v>
      </c>
      <c r="M15" s="6">
        <v>137.30000000000001</v>
      </c>
      <c r="N15" s="6">
        <v>128.6</v>
      </c>
      <c r="O15" s="6">
        <v>149.6</v>
      </c>
      <c r="P15" s="6">
        <v>137.6</v>
      </c>
      <c r="Q15" s="6">
        <v>154.9</v>
      </c>
      <c r="R15" s="6">
        <v>143.80000000000001</v>
      </c>
      <c r="S15" s="6">
        <v>135.6</v>
      </c>
      <c r="T15" s="6">
        <v>142.6</v>
      </c>
      <c r="U15" s="6">
        <v>141.30000000000001</v>
      </c>
      <c r="V15" s="6">
        <v>136.69999999999999</v>
      </c>
      <c r="W15" s="6">
        <v>135.19999999999999</v>
      </c>
      <c r="X15" s="6">
        <v>133.80000000000001</v>
      </c>
      <c r="Y15" s="6">
        <v>120.2</v>
      </c>
      <c r="Z15" s="6">
        <v>129.9</v>
      </c>
      <c r="AA15" s="6">
        <v>139</v>
      </c>
      <c r="AB15" s="6">
        <v>127.7</v>
      </c>
      <c r="AC15" s="6">
        <v>129.6</v>
      </c>
      <c r="AD15" s="9">
        <v>136.4</v>
      </c>
    </row>
    <row r="16" spans="1:30" x14ac:dyDescent="0.3">
      <c r="A16" s="3" t="s">
        <v>34</v>
      </c>
      <c r="B16" s="4">
        <v>2018</v>
      </c>
      <c r="C16" s="4" t="s">
        <v>36</v>
      </c>
      <c r="D16" s="4">
        <v>136.19999999999999</v>
      </c>
      <c r="E16" s="4">
        <v>143.6</v>
      </c>
      <c r="F16" s="4">
        <v>138.30000000000001</v>
      </c>
      <c r="G16" s="4">
        <v>141.19999999999999</v>
      </c>
      <c r="H16" s="4">
        <v>120.7</v>
      </c>
      <c r="I16" s="4">
        <v>146.19999999999999</v>
      </c>
      <c r="J16" s="4">
        <v>134.6</v>
      </c>
      <c r="K16" s="4">
        <v>124.6</v>
      </c>
      <c r="L16" s="4">
        <v>116.1</v>
      </c>
      <c r="M16" s="4">
        <v>137.80000000000001</v>
      </c>
      <c r="N16" s="4">
        <v>129.1</v>
      </c>
      <c r="O16" s="4">
        <v>150.4</v>
      </c>
      <c r="P16" s="4">
        <v>137.19999999999999</v>
      </c>
      <c r="Q16" s="4">
        <v>156.30000000000001</v>
      </c>
      <c r="R16" s="4">
        <v>144.30000000000001</v>
      </c>
      <c r="S16" s="4">
        <v>136.19999999999999</v>
      </c>
      <c r="T16" s="4">
        <v>143.1</v>
      </c>
      <c r="U16" s="4">
        <v>142</v>
      </c>
      <c r="V16" s="4">
        <v>136.5</v>
      </c>
      <c r="W16" s="4">
        <v>135.6</v>
      </c>
      <c r="X16" s="4">
        <v>134.30000000000001</v>
      </c>
      <c r="Y16" s="4">
        <v>121</v>
      </c>
      <c r="Z16" s="4">
        <v>130.4</v>
      </c>
      <c r="AA16" s="4">
        <v>139.80000000000001</v>
      </c>
      <c r="AB16" s="4">
        <v>128.19999999999999</v>
      </c>
      <c r="AC16" s="4">
        <v>130.30000000000001</v>
      </c>
      <c r="AD16" s="8">
        <v>136.5</v>
      </c>
    </row>
    <row r="17" spans="1:30" x14ac:dyDescent="0.3">
      <c r="A17" s="5" t="s">
        <v>34</v>
      </c>
      <c r="B17" s="6">
        <v>2018</v>
      </c>
      <c r="C17" s="6" t="s">
        <v>37</v>
      </c>
      <c r="D17" s="6">
        <v>136.4</v>
      </c>
      <c r="E17" s="6">
        <v>144.4</v>
      </c>
      <c r="F17" s="6">
        <v>133.9</v>
      </c>
      <c r="G17" s="6">
        <v>141.6</v>
      </c>
      <c r="H17" s="6">
        <v>121</v>
      </c>
      <c r="I17" s="6">
        <v>153.5</v>
      </c>
      <c r="J17" s="6">
        <v>132.6</v>
      </c>
      <c r="K17" s="6">
        <v>123.5</v>
      </c>
      <c r="L17" s="6">
        <v>113.7</v>
      </c>
      <c r="M17" s="6">
        <v>138.19999999999999</v>
      </c>
      <c r="N17" s="6">
        <v>129.6</v>
      </c>
      <c r="O17" s="6">
        <v>151.19999999999999</v>
      </c>
      <c r="P17" s="6">
        <v>137.5</v>
      </c>
      <c r="Q17" s="6">
        <v>156.9</v>
      </c>
      <c r="R17" s="6">
        <v>145.30000000000001</v>
      </c>
      <c r="S17" s="6">
        <v>136.69999999999999</v>
      </c>
      <c r="T17" s="6">
        <v>144</v>
      </c>
      <c r="U17" s="6">
        <v>142.9</v>
      </c>
      <c r="V17" s="6">
        <v>136.5</v>
      </c>
      <c r="W17" s="6">
        <v>136.6</v>
      </c>
      <c r="X17" s="6">
        <v>135.19999999999999</v>
      </c>
      <c r="Y17" s="6">
        <v>121.9</v>
      </c>
      <c r="Z17" s="6">
        <v>131.30000000000001</v>
      </c>
      <c r="AA17" s="6">
        <v>141.4</v>
      </c>
      <c r="AB17" s="6">
        <v>129.19999999999999</v>
      </c>
      <c r="AC17" s="6">
        <v>131.30000000000001</v>
      </c>
      <c r="AD17" s="9">
        <v>137.1</v>
      </c>
    </row>
    <row r="18" spans="1:30" x14ac:dyDescent="0.3">
      <c r="A18" s="3" t="s">
        <v>34</v>
      </c>
      <c r="B18" s="4">
        <v>2018</v>
      </c>
      <c r="C18" s="4" t="s">
        <v>38</v>
      </c>
      <c r="D18" s="4">
        <v>136.6</v>
      </c>
      <c r="E18" s="4">
        <v>146.6</v>
      </c>
      <c r="F18" s="4">
        <v>133.6</v>
      </c>
      <c r="G18" s="4">
        <v>142.1</v>
      </c>
      <c r="H18" s="4">
        <v>121</v>
      </c>
      <c r="I18" s="4">
        <v>154.6</v>
      </c>
      <c r="J18" s="4">
        <v>135.6</v>
      </c>
      <c r="K18" s="4">
        <v>122.3</v>
      </c>
      <c r="L18" s="4">
        <v>109.6</v>
      </c>
      <c r="M18" s="4">
        <v>138.1</v>
      </c>
      <c r="N18" s="4">
        <v>129.9</v>
      </c>
      <c r="O18" s="4">
        <v>151.69999999999999</v>
      </c>
      <c r="P18" s="4">
        <v>138.1</v>
      </c>
      <c r="Q18" s="4">
        <v>157.9</v>
      </c>
      <c r="R18" s="4">
        <v>146</v>
      </c>
      <c r="S18" s="4">
        <v>137.4</v>
      </c>
      <c r="T18" s="4">
        <v>144.69999999999999</v>
      </c>
      <c r="U18" s="4">
        <v>143.19999999999999</v>
      </c>
      <c r="V18" s="4">
        <v>136.9</v>
      </c>
      <c r="W18" s="4">
        <v>137.4</v>
      </c>
      <c r="X18" s="4">
        <v>136</v>
      </c>
      <c r="Y18" s="4">
        <v>122.9</v>
      </c>
      <c r="Z18" s="4">
        <v>131.80000000000001</v>
      </c>
      <c r="AA18" s="4">
        <v>142.1</v>
      </c>
      <c r="AB18" s="4">
        <v>129.9</v>
      </c>
      <c r="AC18" s="4">
        <v>132.1</v>
      </c>
      <c r="AD18" s="8">
        <v>137.80000000000001</v>
      </c>
    </row>
    <row r="19" spans="1:30" x14ac:dyDescent="0.3">
      <c r="A19" s="5" t="s">
        <v>34</v>
      </c>
      <c r="B19" s="6">
        <v>2018</v>
      </c>
      <c r="C19" s="6" t="s">
        <v>39</v>
      </c>
      <c r="D19" s="6">
        <v>136.9</v>
      </c>
      <c r="E19" s="6">
        <v>148.69999999999999</v>
      </c>
      <c r="F19" s="6">
        <v>135.6</v>
      </c>
      <c r="G19" s="6">
        <v>142.30000000000001</v>
      </c>
      <c r="H19" s="6">
        <v>121.3</v>
      </c>
      <c r="I19" s="6">
        <v>153.19999999999999</v>
      </c>
      <c r="J19" s="6">
        <v>143.69999999999999</v>
      </c>
      <c r="K19" s="6">
        <v>121.4</v>
      </c>
      <c r="L19" s="6">
        <v>111.1</v>
      </c>
      <c r="M19" s="6">
        <v>138.4</v>
      </c>
      <c r="N19" s="6">
        <v>130.30000000000001</v>
      </c>
      <c r="O19" s="6">
        <v>151.80000000000001</v>
      </c>
      <c r="P19" s="6">
        <v>139.4</v>
      </c>
      <c r="Q19" s="6">
        <v>158.30000000000001</v>
      </c>
      <c r="R19" s="6">
        <v>146.4</v>
      </c>
      <c r="S19" s="6">
        <v>138.1</v>
      </c>
      <c r="T19" s="6">
        <v>145.19999999999999</v>
      </c>
      <c r="U19" s="6">
        <v>142.5</v>
      </c>
      <c r="V19" s="6">
        <v>138.1</v>
      </c>
      <c r="W19" s="6">
        <v>137.9</v>
      </c>
      <c r="X19" s="6">
        <v>136.19999999999999</v>
      </c>
      <c r="Y19" s="6">
        <v>123.7</v>
      </c>
      <c r="Z19" s="6">
        <v>132.6</v>
      </c>
      <c r="AA19" s="6">
        <v>142.80000000000001</v>
      </c>
      <c r="AB19" s="6">
        <v>130.1</v>
      </c>
      <c r="AC19" s="6">
        <v>132.6</v>
      </c>
      <c r="AD19" s="9">
        <v>138.5</v>
      </c>
    </row>
    <row r="20" spans="1:30" x14ac:dyDescent="0.3">
      <c r="A20" s="3" t="s">
        <v>34</v>
      </c>
      <c r="B20" s="4">
        <v>2018</v>
      </c>
      <c r="C20" s="4" t="s">
        <v>40</v>
      </c>
      <c r="D20" s="4">
        <v>137.5</v>
      </c>
      <c r="E20" s="4">
        <v>149.1</v>
      </c>
      <c r="F20" s="4">
        <v>139.19999999999999</v>
      </c>
      <c r="G20" s="4">
        <v>142.5</v>
      </c>
      <c r="H20" s="4">
        <v>121.4</v>
      </c>
      <c r="I20" s="4">
        <v>151.6</v>
      </c>
      <c r="J20" s="4">
        <v>155.9</v>
      </c>
      <c r="K20" s="4">
        <v>121.7</v>
      </c>
      <c r="L20" s="4">
        <v>113.5</v>
      </c>
      <c r="M20" s="4">
        <v>138.9</v>
      </c>
      <c r="N20" s="4">
        <v>130.30000000000001</v>
      </c>
      <c r="O20" s="4">
        <v>152.30000000000001</v>
      </c>
      <c r="P20" s="4">
        <v>141.4</v>
      </c>
      <c r="Q20" s="4">
        <v>157.5</v>
      </c>
      <c r="R20" s="4">
        <v>146.80000000000001</v>
      </c>
      <c r="S20" s="4">
        <v>138.4</v>
      </c>
      <c r="T20" s="4">
        <v>145.6</v>
      </c>
      <c r="U20" s="4">
        <v>143.6</v>
      </c>
      <c r="V20" s="4">
        <v>139.69999999999999</v>
      </c>
      <c r="W20" s="4">
        <v>138.6</v>
      </c>
      <c r="X20" s="4">
        <v>137</v>
      </c>
      <c r="Y20" s="4">
        <v>123.6</v>
      </c>
      <c r="Z20" s="4">
        <v>133.1</v>
      </c>
      <c r="AA20" s="4">
        <v>144.69999999999999</v>
      </c>
      <c r="AB20" s="4">
        <v>130.1</v>
      </c>
      <c r="AC20" s="4">
        <v>133.19999999999999</v>
      </c>
      <c r="AD20" s="8">
        <v>139.80000000000001</v>
      </c>
    </row>
    <row r="21" spans="1:30" x14ac:dyDescent="0.3">
      <c r="A21" s="5" t="s">
        <v>34</v>
      </c>
      <c r="B21" s="6">
        <v>2018</v>
      </c>
      <c r="C21" s="6" t="s">
        <v>41</v>
      </c>
      <c r="D21" s="6">
        <v>138.30000000000001</v>
      </c>
      <c r="E21" s="6">
        <v>148</v>
      </c>
      <c r="F21" s="6">
        <v>138.1</v>
      </c>
      <c r="G21" s="6">
        <v>142.6</v>
      </c>
      <c r="H21" s="6">
        <v>122.2</v>
      </c>
      <c r="I21" s="6">
        <v>150.6</v>
      </c>
      <c r="J21" s="6">
        <v>156.6</v>
      </c>
      <c r="K21" s="6">
        <v>122.4</v>
      </c>
      <c r="L21" s="6">
        <v>114.7</v>
      </c>
      <c r="M21" s="6">
        <v>139.4</v>
      </c>
      <c r="N21" s="6">
        <v>131.1</v>
      </c>
      <c r="O21" s="6">
        <v>153</v>
      </c>
      <c r="P21" s="6">
        <v>141.69999999999999</v>
      </c>
      <c r="Q21" s="6">
        <v>157.9</v>
      </c>
      <c r="R21" s="6">
        <v>147.30000000000001</v>
      </c>
      <c r="S21" s="6">
        <v>138.80000000000001</v>
      </c>
      <c r="T21" s="6">
        <v>146.1</v>
      </c>
      <c r="U21" s="6">
        <v>144.6</v>
      </c>
      <c r="V21" s="6">
        <v>140.9</v>
      </c>
      <c r="W21" s="6">
        <v>139.4</v>
      </c>
      <c r="X21" s="6">
        <v>137.69999999999999</v>
      </c>
      <c r="Y21" s="6">
        <v>124.3</v>
      </c>
      <c r="Z21" s="6">
        <v>133.6</v>
      </c>
      <c r="AA21" s="6">
        <v>146</v>
      </c>
      <c r="AB21" s="6">
        <v>130.1</v>
      </c>
      <c r="AC21" s="6">
        <v>133.9</v>
      </c>
      <c r="AD21" s="9">
        <v>140.4</v>
      </c>
    </row>
    <row r="22" spans="1:30" x14ac:dyDescent="0.3">
      <c r="A22" s="3" t="s">
        <v>34</v>
      </c>
      <c r="B22" s="4">
        <v>2018</v>
      </c>
      <c r="C22" s="4" t="s">
        <v>42</v>
      </c>
      <c r="D22" s="4">
        <v>138.6</v>
      </c>
      <c r="E22" s="4">
        <v>145.80000000000001</v>
      </c>
      <c r="F22" s="4">
        <v>135.1</v>
      </c>
      <c r="G22" s="4">
        <v>142.9</v>
      </c>
      <c r="H22" s="4">
        <v>122.1</v>
      </c>
      <c r="I22" s="4">
        <v>145.4</v>
      </c>
      <c r="J22" s="4">
        <v>150</v>
      </c>
      <c r="K22" s="4">
        <v>121.4</v>
      </c>
      <c r="L22" s="4">
        <v>113.7</v>
      </c>
      <c r="M22" s="4">
        <v>139.5</v>
      </c>
      <c r="N22" s="4">
        <v>130.80000000000001</v>
      </c>
      <c r="O22" s="4">
        <v>153.80000000000001</v>
      </c>
      <c r="P22" s="4">
        <v>140.4</v>
      </c>
      <c r="Q22" s="4">
        <v>159.19999999999999</v>
      </c>
      <c r="R22" s="4">
        <v>147.69999999999999</v>
      </c>
      <c r="S22" s="4">
        <v>139.1</v>
      </c>
      <c r="T22" s="4">
        <v>146.5</v>
      </c>
      <c r="U22" s="4">
        <v>145.30000000000001</v>
      </c>
      <c r="V22" s="4">
        <v>142.30000000000001</v>
      </c>
      <c r="W22" s="4">
        <v>139.69999999999999</v>
      </c>
      <c r="X22" s="4">
        <v>138.4</v>
      </c>
      <c r="Y22" s="4">
        <v>126</v>
      </c>
      <c r="Z22" s="4">
        <v>134.5</v>
      </c>
      <c r="AA22" s="4">
        <v>146.19999999999999</v>
      </c>
      <c r="AB22" s="4">
        <v>130.9</v>
      </c>
      <c r="AC22" s="4">
        <v>134.69999999999999</v>
      </c>
      <c r="AD22" s="8">
        <v>140.19999999999999</v>
      </c>
    </row>
    <row r="23" spans="1:30" x14ac:dyDescent="0.3">
      <c r="A23" s="5" t="s">
        <v>34</v>
      </c>
      <c r="B23" s="6">
        <v>2018</v>
      </c>
      <c r="C23" s="6" t="s">
        <v>43</v>
      </c>
      <c r="D23" s="6">
        <v>137.4</v>
      </c>
      <c r="E23" s="6">
        <v>149.5</v>
      </c>
      <c r="F23" s="6">
        <v>137.30000000000001</v>
      </c>
      <c r="G23" s="6">
        <v>141.9</v>
      </c>
      <c r="H23" s="6">
        <v>121.1</v>
      </c>
      <c r="I23" s="6">
        <v>142.5</v>
      </c>
      <c r="J23" s="6">
        <v>146.69999999999999</v>
      </c>
      <c r="K23" s="6">
        <v>119.1</v>
      </c>
      <c r="L23" s="6">
        <v>111.9</v>
      </c>
      <c r="M23" s="6">
        <v>141</v>
      </c>
      <c r="N23" s="6">
        <v>133.6</v>
      </c>
      <c r="O23" s="6">
        <v>154.5</v>
      </c>
      <c r="P23" s="6">
        <v>139.69999999999999</v>
      </c>
      <c r="Q23" s="6">
        <v>162.6</v>
      </c>
      <c r="R23" s="6">
        <v>148</v>
      </c>
      <c r="S23" s="6">
        <v>139.19999999999999</v>
      </c>
      <c r="T23" s="6">
        <v>146.80000000000001</v>
      </c>
      <c r="U23" s="6">
        <v>146.9</v>
      </c>
      <c r="V23" s="6">
        <v>145.30000000000001</v>
      </c>
      <c r="W23" s="6">
        <v>142.19999999999999</v>
      </c>
      <c r="X23" s="6">
        <v>142.1</v>
      </c>
      <c r="Y23" s="6">
        <v>125.5</v>
      </c>
      <c r="Z23" s="6">
        <v>136.5</v>
      </c>
      <c r="AA23" s="6">
        <v>147.80000000000001</v>
      </c>
      <c r="AB23" s="6">
        <v>132</v>
      </c>
      <c r="AC23" s="6">
        <v>136.30000000000001</v>
      </c>
      <c r="AD23" s="9">
        <v>140.80000000000001</v>
      </c>
    </row>
    <row r="24" spans="1:30" x14ac:dyDescent="0.3">
      <c r="A24" s="3" t="s">
        <v>34</v>
      </c>
      <c r="B24" s="4">
        <v>2018</v>
      </c>
      <c r="C24" s="4" t="s">
        <v>45</v>
      </c>
      <c r="D24" s="4">
        <v>137.4</v>
      </c>
      <c r="E24" s="4">
        <v>149.19999999999999</v>
      </c>
      <c r="F24" s="4">
        <v>137.1</v>
      </c>
      <c r="G24" s="4">
        <v>141.80000000000001</v>
      </c>
      <c r="H24" s="4">
        <v>121.1</v>
      </c>
      <c r="I24" s="4">
        <v>142.80000000000001</v>
      </c>
      <c r="J24" s="4">
        <v>146.69999999999999</v>
      </c>
      <c r="K24" s="4">
        <v>119.1</v>
      </c>
      <c r="L24" s="4">
        <v>111.9</v>
      </c>
      <c r="M24" s="4">
        <v>140.9</v>
      </c>
      <c r="N24" s="4">
        <v>133.5</v>
      </c>
      <c r="O24" s="4">
        <v>154.5</v>
      </c>
      <c r="P24" s="4">
        <v>139.69999999999999</v>
      </c>
      <c r="Q24" s="4">
        <v>162.6</v>
      </c>
      <c r="R24" s="4">
        <v>148</v>
      </c>
      <c r="S24" s="4">
        <v>139.1</v>
      </c>
      <c r="T24" s="4">
        <v>146.69999999999999</v>
      </c>
      <c r="U24" s="4">
        <v>146.9</v>
      </c>
      <c r="V24" s="4">
        <v>145.1</v>
      </c>
      <c r="W24" s="4">
        <v>142.19999999999999</v>
      </c>
      <c r="X24" s="4">
        <v>142.1</v>
      </c>
      <c r="Y24" s="4">
        <v>125.5</v>
      </c>
      <c r="Z24" s="4">
        <v>136.5</v>
      </c>
      <c r="AA24" s="4">
        <v>147.80000000000001</v>
      </c>
      <c r="AB24" s="4">
        <v>132</v>
      </c>
      <c r="AC24" s="4">
        <v>136.30000000000001</v>
      </c>
      <c r="AD24" s="8">
        <v>140.80000000000001</v>
      </c>
    </row>
    <row r="25" spans="1:30" x14ac:dyDescent="0.3">
      <c r="A25" s="5" t="s">
        <v>34</v>
      </c>
      <c r="B25" s="6">
        <v>2018</v>
      </c>
      <c r="C25" s="6" t="s">
        <v>46</v>
      </c>
      <c r="D25" s="6">
        <v>137.5</v>
      </c>
      <c r="E25" s="6">
        <v>150.5</v>
      </c>
      <c r="F25" s="6">
        <v>138.80000000000001</v>
      </c>
      <c r="G25" s="6">
        <v>142.1</v>
      </c>
      <c r="H25" s="6">
        <v>122</v>
      </c>
      <c r="I25" s="6">
        <v>139.4</v>
      </c>
      <c r="J25" s="6">
        <v>135.19999999999999</v>
      </c>
      <c r="K25" s="6">
        <v>119.8</v>
      </c>
      <c r="L25" s="6">
        <v>110.3</v>
      </c>
      <c r="M25" s="6">
        <v>140.6</v>
      </c>
      <c r="N25" s="6">
        <v>133.80000000000001</v>
      </c>
      <c r="O25" s="6">
        <v>154.6</v>
      </c>
      <c r="P25" s="6">
        <v>138.19999999999999</v>
      </c>
      <c r="Q25" s="6">
        <v>163</v>
      </c>
      <c r="R25" s="6">
        <v>148.1</v>
      </c>
      <c r="S25" s="6">
        <v>139.4</v>
      </c>
      <c r="T25" s="6">
        <v>146.80000000000001</v>
      </c>
      <c r="U25" s="6">
        <v>146.5</v>
      </c>
      <c r="V25" s="6">
        <v>142.69999999999999</v>
      </c>
      <c r="W25" s="6">
        <v>143.19999999999999</v>
      </c>
      <c r="X25" s="6">
        <v>144.9</v>
      </c>
      <c r="Y25" s="6">
        <v>123.6</v>
      </c>
      <c r="Z25" s="6">
        <v>136.80000000000001</v>
      </c>
      <c r="AA25" s="6">
        <v>150.1</v>
      </c>
      <c r="AB25" s="6">
        <v>132.19999999999999</v>
      </c>
      <c r="AC25" s="6">
        <v>136.80000000000001</v>
      </c>
      <c r="AD25" s="9">
        <v>140.1</v>
      </c>
    </row>
    <row r="26" spans="1:30" x14ac:dyDescent="0.3">
      <c r="A26" s="3" t="s">
        <v>34</v>
      </c>
      <c r="B26" s="4">
        <v>2019</v>
      </c>
      <c r="C26" s="4" t="s">
        <v>31</v>
      </c>
      <c r="D26" s="4">
        <v>137.1</v>
      </c>
      <c r="E26" s="4">
        <v>151.4</v>
      </c>
      <c r="F26" s="4">
        <v>140.19999999999999</v>
      </c>
      <c r="G26" s="4">
        <v>142.1</v>
      </c>
      <c r="H26" s="4">
        <v>121.8</v>
      </c>
      <c r="I26" s="4">
        <v>135.4</v>
      </c>
      <c r="J26" s="4">
        <v>131.30000000000001</v>
      </c>
      <c r="K26" s="4">
        <v>120.3</v>
      </c>
      <c r="L26" s="4">
        <v>109.1</v>
      </c>
      <c r="M26" s="4">
        <v>139.4</v>
      </c>
      <c r="N26" s="4">
        <v>133.30000000000001</v>
      </c>
      <c r="O26" s="4">
        <v>154.6</v>
      </c>
      <c r="P26" s="4">
        <v>137.4</v>
      </c>
      <c r="Q26" s="4">
        <v>163.19999999999999</v>
      </c>
      <c r="R26" s="4">
        <v>147.6</v>
      </c>
      <c r="S26" s="4">
        <v>139</v>
      </c>
      <c r="T26" s="4">
        <v>146.4</v>
      </c>
      <c r="U26" s="4">
        <v>147.69999999999999</v>
      </c>
      <c r="V26" s="4">
        <v>139.5</v>
      </c>
      <c r="W26" s="4">
        <v>143.6</v>
      </c>
      <c r="X26" s="4">
        <v>145.1</v>
      </c>
      <c r="Y26" s="4">
        <v>123.3</v>
      </c>
      <c r="Z26" s="4">
        <v>136.69999999999999</v>
      </c>
      <c r="AA26" s="4">
        <v>150.19999999999999</v>
      </c>
      <c r="AB26" s="4">
        <v>132.80000000000001</v>
      </c>
      <c r="AC26" s="4">
        <v>136.9</v>
      </c>
      <c r="AD26" s="8">
        <v>139.6</v>
      </c>
    </row>
    <row r="27" spans="1:30" x14ac:dyDescent="0.3">
      <c r="A27" s="5" t="s">
        <v>34</v>
      </c>
      <c r="B27" s="6">
        <v>2019</v>
      </c>
      <c r="C27" s="6" t="s">
        <v>35</v>
      </c>
      <c r="D27" s="6">
        <v>137.6</v>
      </c>
      <c r="E27" s="6">
        <v>152</v>
      </c>
      <c r="F27" s="6">
        <v>141.5</v>
      </c>
      <c r="G27" s="6">
        <v>142.19999999999999</v>
      </c>
      <c r="H27" s="6">
        <v>122</v>
      </c>
      <c r="I27" s="6">
        <v>136.4</v>
      </c>
      <c r="J27" s="6">
        <v>129.69999999999999</v>
      </c>
      <c r="K27" s="6">
        <v>121</v>
      </c>
      <c r="L27" s="6">
        <v>109</v>
      </c>
      <c r="M27" s="6">
        <v>139.69999999999999</v>
      </c>
      <c r="N27" s="6">
        <v>133.6</v>
      </c>
      <c r="O27" s="6">
        <v>154.9</v>
      </c>
      <c r="P27" s="6">
        <v>137.5</v>
      </c>
      <c r="Q27" s="6">
        <v>163.4</v>
      </c>
      <c r="R27" s="6">
        <v>147.69999999999999</v>
      </c>
      <c r="S27" s="6">
        <v>139.69999999999999</v>
      </c>
      <c r="T27" s="6">
        <v>146.5</v>
      </c>
      <c r="U27" s="6">
        <v>148.5</v>
      </c>
      <c r="V27" s="6">
        <v>138.4</v>
      </c>
      <c r="W27" s="6">
        <v>143.69999999999999</v>
      </c>
      <c r="X27" s="6">
        <v>145.6</v>
      </c>
      <c r="Y27" s="6">
        <v>123.9</v>
      </c>
      <c r="Z27" s="6">
        <v>137.1</v>
      </c>
      <c r="AA27" s="6">
        <v>150.30000000000001</v>
      </c>
      <c r="AB27" s="6">
        <v>134.1</v>
      </c>
      <c r="AC27" s="6">
        <v>137.4</v>
      </c>
      <c r="AD27" s="9">
        <v>139.9</v>
      </c>
    </row>
    <row r="28" spans="1:30" x14ac:dyDescent="0.3">
      <c r="A28" s="3" t="s">
        <v>34</v>
      </c>
      <c r="B28" s="4">
        <v>2019</v>
      </c>
      <c r="C28" s="4" t="s">
        <v>36</v>
      </c>
      <c r="D28" s="4">
        <v>137.80000000000001</v>
      </c>
      <c r="E28" s="4">
        <v>153</v>
      </c>
      <c r="F28" s="4">
        <v>140.30000000000001</v>
      </c>
      <c r="G28" s="4">
        <v>142.30000000000001</v>
      </c>
      <c r="H28" s="4">
        <v>122</v>
      </c>
      <c r="I28" s="4">
        <v>137.6</v>
      </c>
      <c r="J28" s="4">
        <v>132.6</v>
      </c>
      <c r="K28" s="4">
        <v>121.8</v>
      </c>
      <c r="L28" s="4">
        <v>109</v>
      </c>
      <c r="M28" s="4">
        <v>139.5</v>
      </c>
      <c r="N28" s="4">
        <v>133.69999999999999</v>
      </c>
      <c r="O28" s="4">
        <v>155.19999999999999</v>
      </c>
      <c r="P28" s="4">
        <v>138.1</v>
      </c>
      <c r="Q28" s="4">
        <v>163.5</v>
      </c>
      <c r="R28" s="4">
        <v>147.9</v>
      </c>
      <c r="S28" s="4">
        <v>139.9</v>
      </c>
      <c r="T28" s="4">
        <v>146.69999999999999</v>
      </c>
      <c r="U28" s="4">
        <v>149</v>
      </c>
      <c r="V28" s="4">
        <v>139.69999999999999</v>
      </c>
      <c r="W28" s="4">
        <v>143.80000000000001</v>
      </c>
      <c r="X28" s="4">
        <v>146.19999999999999</v>
      </c>
      <c r="Y28" s="4">
        <v>124.6</v>
      </c>
      <c r="Z28" s="4">
        <v>137.69999999999999</v>
      </c>
      <c r="AA28" s="4">
        <v>150.30000000000001</v>
      </c>
      <c r="AB28" s="4">
        <v>133.4</v>
      </c>
      <c r="AC28" s="4">
        <v>137.69999999999999</v>
      </c>
      <c r="AD28" s="8">
        <v>140.4</v>
      </c>
    </row>
    <row r="29" spans="1:30" x14ac:dyDescent="0.3">
      <c r="A29" s="5" t="s">
        <v>34</v>
      </c>
      <c r="B29" s="6">
        <v>2019</v>
      </c>
      <c r="C29" s="6" t="s">
        <v>38</v>
      </c>
      <c r="D29" s="6">
        <v>138.30000000000001</v>
      </c>
      <c r="E29" s="6">
        <v>158.5</v>
      </c>
      <c r="F29" s="6">
        <v>136</v>
      </c>
      <c r="G29" s="6">
        <v>142.5</v>
      </c>
      <c r="H29" s="6">
        <v>122</v>
      </c>
      <c r="I29" s="6">
        <v>146.5</v>
      </c>
      <c r="J29" s="6">
        <v>143</v>
      </c>
      <c r="K29" s="6">
        <v>124.9</v>
      </c>
      <c r="L29" s="6">
        <v>109.9</v>
      </c>
      <c r="M29" s="6">
        <v>139.9</v>
      </c>
      <c r="N29" s="6">
        <v>134</v>
      </c>
      <c r="O29" s="6">
        <v>155.5</v>
      </c>
      <c r="P29" s="6">
        <v>140.9</v>
      </c>
      <c r="Q29" s="6">
        <v>164.1</v>
      </c>
      <c r="R29" s="6">
        <v>148.4</v>
      </c>
      <c r="S29" s="6">
        <v>140.4</v>
      </c>
      <c r="T29" s="6">
        <v>147.30000000000001</v>
      </c>
      <c r="U29" s="6">
        <v>150.1</v>
      </c>
      <c r="V29" s="6">
        <v>140.30000000000001</v>
      </c>
      <c r="W29" s="6">
        <v>143.69999999999999</v>
      </c>
      <c r="X29" s="6">
        <v>146.9</v>
      </c>
      <c r="Y29" s="6">
        <v>124.9</v>
      </c>
      <c r="Z29" s="6">
        <v>139.19999999999999</v>
      </c>
      <c r="AA29" s="6">
        <v>151.6</v>
      </c>
      <c r="AB29" s="6">
        <v>133.4</v>
      </c>
      <c r="AC29" s="6">
        <v>138.19999999999999</v>
      </c>
      <c r="AD29" s="9">
        <v>142</v>
      </c>
    </row>
    <row r="30" spans="1:30" x14ac:dyDescent="0.3">
      <c r="A30" s="3" t="s">
        <v>34</v>
      </c>
      <c r="B30" s="4">
        <v>2019</v>
      </c>
      <c r="C30" s="4" t="s">
        <v>39</v>
      </c>
      <c r="D30" s="4">
        <v>138.69999999999999</v>
      </c>
      <c r="E30" s="4">
        <v>162.1</v>
      </c>
      <c r="F30" s="4">
        <v>137.80000000000001</v>
      </c>
      <c r="G30" s="4">
        <v>143.30000000000001</v>
      </c>
      <c r="H30" s="4">
        <v>122.2</v>
      </c>
      <c r="I30" s="4">
        <v>146.80000000000001</v>
      </c>
      <c r="J30" s="4">
        <v>150.5</v>
      </c>
      <c r="K30" s="4">
        <v>128.30000000000001</v>
      </c>
      <c r="L30" s="4">
        <v>111</v>
      </c>
      <c r="M30" s="4">
        <v>140.6</v>
      </c>
      <c r="N30" s="4">
        <v>134.19999999999999</v>
      </c>
      <c r="O30" s="4">
        <v>155.9</v>
      </c>
      <c r="P30" s="4">
        <v>142.69999999999999</v>
      </c>
      <c r="Q30" s="4">
        <v>164.9</v>
      </c>
      <c r="R30" s="4">
        <v>148.6</v>
      </c>
      <c r="S30" s="4">
        <v>140.4</v>
      </c>
      <c r="T30" s="4">
        <v>147.4</v>
      </c>
      <c r="U30" s="4">
        <v>149.4</v>
      </c>
      <c r="V30" s="4">
        <v>141.19999999999999</v>
      </c>
      <c r="W30" s="4">
        <v>143.80000000000001</v>
      </c>
      <c r="X30" s="4">
        <v>147.4</v>
      </c>
      <c r="Y30" s="4">
        <v>124.6</v>
      </c>
      <c r="Z30" s="4">
        <v>139.6</v>
      </c>
      <c r="AA30" s="4">
        <v>152.5</v>
      </c>
      <c r="AB30" s="4">
        <v>134.30000000000001</v>
      </c>
      <c r="AC30" s="4">
        <v>138.6</v>
      </c>
      <c r="AD30" s="8">
        <v>142.9</v>
      </c>
    </row>
    <row r="31" spans="1:30" x14ac:dyDescent="0.3">
      <c r="A31" s="5" t="s">
        <v>34</v>
      </c>
      <c r="B31" s="6">
        <v>2019</v>
      </c>
      <c r="C31" s="6" t="s">
        <v>40</v>
      </c>
      <c r="D31" s="6">
        <v>139.30000000000001</v>
      </c>
      <c r="E31" s="6">
        <v>162.69999999999999</v>
      </c>
      <c r="F31" s="6">
        <v>140</v>
      </c>
      <c r="G31" s="6">
        <v>144</v>
      </c>
      <c r="H31" s="6">
        <v>122.5</v>
      </c>
      <c r="I31" s="6">
        <v>150.30000000000001</v>
      </c>
      <c r="J31" s="6">
        <v>160.30000000000001</v>
      </c>
      <c r="K31" s="6">
        <v>130</v>
      </c>
      <c r="L31" s="6">
        <v>111.1</v>
      </c>
      <c r="M31" s="6">
        <v>141.69999999999999</v>
      </c>
      <c r="N31" s="6">
        <v>134.69999999999999</v>
      </c>
      <c r="O31" s="6">
        <v>156.19999999999999</v>
      </c>
      <c r="P31" s="6">
        <v>144.69999999999999</v>
      </c>
      <c r="Q31" s="6">
        <v>165.2</v>
      </c>
      <c r="R31" s="6">
        <v>148.9</v>
      </c>
      <c r="S31" s="6">
        <v>140.5</v>
      </c>
      <c r="T31" s="6">
        <v>147.6</v>
      </c>
      <c r="U31" s="6">
        <v>150.6</v>
      </c>
      <c r="V31" s="6">
        <v>139.30000000000001</v>
      </c>
      <c r="W31" s="6">
        <v>144.19999999999999</v>
      </c>
      <c r="X31" s="6">
        <v>147.9</v>
      </c>
      <c r="Y31" s="6">
        <v>125.6</v>
      </c>
      <c r="Z31" s="6">
        <v>140.5</v>
      </c>
      <c r="AA31" s="6">
        <v>154</v>
      </c>
      <c r="AB31" s="6">
        <v>135.69999999999999</v>
      </c>
      <c r="AC31" s="6">
        <v>139.5</v>
      </c>
      <c r="AD31" s="9">
        <v>144.19999999999999</v>
      </c>
    </row>
    <row r="32" spans="1:30" x14ac:dyDescent="0.3">
      <c r="A32" s="3" t="s">
        <v>34</v>
      </c>
      <c r="B32" s="4">
        <v>2019</v>
      </c>
      <c r="C32" s="4" t="s">
        <v>41</v>
      </c>
      <c r="D32" s="4">
        <v>140.1</v>
      </c>
      <c r="E32" s="4">
        <v>160.6</v>
      </c>
      <c r="F32" s="4">
        <v>138.5</v>
      </c>
      <c r="G32" s="4">
        <v>144.69999999999999</v>
      </c>
      <c r="H32" s="4">
        <v>122.9</v>
      </c>
      <c r="I32" s="4">
        <v>149.4</v>
      </c>
      <c r="J32" s="4">
        <v>167.4</v>
      </c>
      <c r="K32" s="4">
        <v>130.9</v>
      </c>
      <c r="L32" s="4">
        <v>112</v>
      </c>
      <c r="M32" s="4">
        <v>142.6</v>
      </c>
      <c r="N32" s="4">
        <v>134.9</v>
      </c>
      <c r="O32" s="4">
        <v>156.6</v>
      </c>
      <c r="P32" s="4">
        <v>145.9</v>
      </c>
      <c r="Q32" s="4">
        <v>165.8</v>
      </c>
      <c r="R32" s="4">
        <v>149.1</v>
      </c>
      <c r="S32" s="4">
        <v>140.6</v>
      </c>
      <c r="T32" s="4">
        <v>147.9</v>
      </c>
      <c r="U32" s="4">
        <v>151.6</v>
      </c>
      <c r="V32" s="4">
        <v>138.5</v>
      </c>
      <c r="W32" s="4">
        <v>144.5</v>
      </c>
      <c r="X32" s="4">
        <v>148.5</v>
      </c>
      <c r="Y32" s="4">
        <v>125.8</v>
      </c>
      <c r="Z32" s="4">
        <v>140.9</v>
      </c>
      <c r="AA32" s="4">
        <v>154.9</v>
      </c>
      <c r="AB32" s="4">
        <v>138.4</v>
      </c>
      <c r="AC32" s="4">
        <v>140.19999999999999</v>
      </c>
      <c r="AD32" s="8">
        <v>145</v>
      </c>
    </row>
    <row r="33" spans="1:30" x14ac:dyDescent="0.3">
      <c r="A33" s="5" t="s">
        <v>34</v>
      </c>
      <c r="B33" s="6">
        <v>2019</v>
      </c>
      <c r="C33" s="6" t="s">
        <v>42</v>
      </c>
      <c r="D33" s="6">
        <v>140.9</v>
      </c>
      <c r="E33" s="6">
        <v>160.80000000000001</v>
      </c>
      <c r="F33" s="6">
        <v>139.6</v>
      </c>
      <c r="G33" s="6">
        <v>145.4</v>
      </c>
      <c r="H33" s="6">
        <v>123.5</v>
      </c>
      <c r="I33" s="6">
        <v>146.6</v>
      </c>
      <c r="J33" s="6">
        <v>173.2</v>
      </c>
      <c r="K33" s="6">
        <v>131.6</v>
      </c>
      <c r="L33" s="6">
        <v>113.2</v>
      </c>
      <c r="M33" s="6">
        <v>144.1</v>
      </c>
      <c r="N33" s="6">
        <v>135</v>
      </c>
      <c r="O33" s="6">
        <v>156.80000000000001</v>
      </c>
      <c r="P33" s="6">
        <v>147</v>
      </c>
      <c r="Q33" s="6">
        <v>166.5</v>
      </c>
      <c r="R33" s="6">
        <v>149.19999999999999</v>
      </c>
      <c r="S33" s="6">
        <v>140.6</v>
      </c>
      <c r="T33" s="6">
        <v>147.9</v>
      </c>
      <c r="U33" s="6">
        <v>152.19999999999999</v>
      </c>
      <c r="V33" s="6">
        <v>139.19999999999999</v>
      </c>
      <c r="W33" s="6">
        <v>144.6</v>
      </c>
      <c r="X33" s="6">
        <v>149</v>
      </c>
      <c r="Y33" s="6">
        <v>126.1</v>
      </c>
      <c r="Z33" s="6">
        <v>141.30000000000001</v>
      </c>
      <c r="AA33" s="6">
        <v>155.19999999999999</v>
      </c>
      <c r="AB33" s="6">
        <v>139.69999999999999</v>
      </c>
      <c r="AC33" s="6">
        <v>140.69999999999999</v>
      </c>
      <c r="AD33" s="9">
        <v>145.80000000000001</v>
      </c>
    </row>
    <row r="34" spans="1:30" x14ac:dyDescent="0.3">
      <c r="A34" s="3" t="s">
        <v>34</v>
      </c>
      <c r="B34" s="4">
        <v>2019</v>
      </c>
      <c r="C34" s="4" t="s">
        <v>43</v>
      </c>
      <c r="D34" s="4">
        <v>141.80000000000001</v>
      </c>
      <c r="E34" s="4">
        <v>161</v>
      </c>
      <c r="F34" s="4">
        <v>142.6</v>
      </c>
      <c r="G34" s="4">
        <v>146.19999999999999</v>
      </c>
      <c r="H34" s="4">
        <v>123.9</v>
      </c>
      <c r="I34" s="4">
        <v>148</v>
      </c>
      <c r="J34" s="4">
        <v>188.4</v>
      </c>
      <c r="K34" s="4">
        <v>132.5</v>
      </c>
      <c r="L34" s="4">
        <v>114</v>
      </c>
      <c r="M34" s="4">
        <v>145.4</v>
      </c>
      <c r="N34" s="4">
        <v>135.1</v>
      </c>
      <c r="O34" s="4">
        <v>157.1</v>
      </c>
      <c r="P34" s="4">
        <v>149.6</v>
      </c>
      <c r="Q34" s="4">
        <v>167.1</v>
      </c>
      <c r="R34" s="4">
        <v>149.4</v>
      </c>
      <c r="S34" s="4">
        <v>140.80000000000001</v>
      </c>
      <c r="T34" s="4">
        <v>148.19999999999999</v>
      </c>
      <c r="U34" s="4">
        <v>153</v>
      </c>
      <c r="V34" s="4">
        <v>140.6</v>
      </c>
      <c r="W34" s="4">
        <v>145</v>
      </c>
      <c r="X34" s="4">
        <v>149.4</v>
      </c>
      <c r="Y34" s="4">
        <v>126.3</v>
      </c>
      <c r="Z34" s="4">
        <v>141.69999999999999</v>
      </c>
      <c r="AA34" s="4">
        <v>155.4</v>
      </c>
      <c r="AB34" s="4">
        <v>140</v>
      </c>
      <c r="AC34" s="4">
        <v>141</v>
      </c>
      <c r="AD34" s="8">
        <v>147.19999999999999</v>
      </c>
    </row>
    <row r="35" spans="1:30" x14ac:dyDescent="0.3">
      <c r="A35" s="5" t="s">
        <v>34</v>
      </c>
      <c r="B35" s="6">
        <v>2019</v>
      </c>
      <c r="C35" s="6" t="s">
        <v>45</v>
      </c>
      <c r="D35" s="6">
        <v>142.5</v>
      </c>
      <c r="E35" s="6">
        <v>163.19999999999999</v>
      </c>
      <c r="F35" s="6">
        <v>145.6</v>
      </c>
      <c r="G35" s="6">
        <v>146.69999999999999</v>
      </c>
      <c r="H35" s="6">
        <v>124.3</v>
      </c>
      <c r="I35" s="6">
        <v>147.4</v>
      </c>
      <c r="J35" s="6">
        <v>199.6</v>
      </c>
      <c r="K35" s="6">
        <v>135.69999999999999</v>
      </c>
      <c r="L35" s="6">
        <v>114.2</v>
      </c>
      <c r="M35" s="6">
        <v>147</v>
      </c>
      <c r="N35" s="6">
        <v>135.30000000000001</v>
      </c>
      <c r="O35" s="6">
        <v>157.5</v>
      </c>
      <c r="P35" s="6">
        <v>151.9</v>
      </c>
      <c r="Q35" s="6">
        <v>167.9</v>
      </c>
      <c r="R35" s="6">
        <v>149.9</v>
      </c>
      <c r="S35" s="6">
        <v>141</v>
      </c>
      <c r="T35" s="6">
        <v>148.6</v>
      </c>
      <c r="U35" s="6">
        <v>153.5</v>
      </c>
      <c r="V35" s="6">
        <v>142.30000000000001</v>
      </c>
      <c r="W35" s="6">
        <v>145.30000000000001</v>
      </c>
      <c r="X35" s="6">
        <v>149.9</v>
      </c>
      <c r="Y35" s="6">
        <v>126.6</v>
      </c>
      <c r="Z35" s="6">
        <v>142.1</v>
      </c>
      <c r="AA35" s="6">
        <v>155.5</v>
      </c>
      <c r="AB35" s="6">
        <v>140.30000000000001</v>
      </c>
      <c r="AC35" s="6">
        <v>141.30000000000001</v>
      </c>
      <c r="AD35" s="9">
        <v>148.6</v>
      </c>
    </row>
    <row r="36" spans="1:30" x14ac:dyDescent="0.3">
      <c r="A36" s="3" t="s">
        <v>34</v>
      </c>
      <c r="B36" s="4">
        <v>2019</v>
      </c>
      <c r="C36" s="4" t="s">
        <v>46</v>
      </c>
      <c r="D36" s="4">
        <v>143.5</v>
      </c>
      <c r="E36" s="4">
        <v>165</v>
      </c>
      <c r="F36" s="4">
        <v>151.1</v>
      </c>
      <c r="G36" s="4">
        <v>148.30000000000001</v>
      </c>
      <c r="H36" s="4">
        <v>125.7</v>
      </c>
      <c r="I36" s="4">
        <v>145.69999999999999</v>
      </c>
      <c r="J36" s="4">
        <v>217</v>
      </c>
      <c r="K36" s="4">
        <v>138.30000000000001</v>
      </c>
      <c r="L36" s="4">
        <v>114</v>
      </c>
      <c r="M36" s="4">
        <v>148.69999999999999</v>
      </c>
      <c r="N36" s="4">
        <v>135.80000000000001</v>
      </c>
      <c r="O36" s="4">
        <v>158</v>
      </c>
      <c r="P36" s="4">
        <v>155</v>
      </c>
      <c r="Q36" s="4">
        <v>168.5</v>
      </c>
      <c r="R36" s="4">
        <v>150.30000000000001</v>
      </c>
      <c r="S36" s="4">
        <v>141.30000000000001</v>
      </c>
      <c r="T36" s="4">
        <v>149</v>
      </c>
      <c r="U36" s="4">
        <v>152.80000000000001</v>
      </c>
      <c r="V36" s="4">
        <v>143.69999999999999</v>
      </c>
      <c r="W36" s="4">
        <v>145.80000000000001</v>
      </c>
      <c r="X36" s="4">
        <v>150.4</v>
      </c>
      <c r="Y36" s="4">
        <v>129.80000000000001</v>
      </c>
      <c r="Z36" s="4">
        <v>142.30000000000001</v>
      </c>
      <c r="AA36" s="4">
        <v>155.69999999999999</v>
      </c>
      <c r="AB36" s="4">
        <v>140.4</v>
      </c>
      <c r="AC36" s="4">
        <v>142.5</v>
      </c>
      <c r="AD36" s="8">
        <v>150.4</v>
      </c>
    </row>
    <row r="37" spans="1:30" x14ac:dyDescent="0.3">
      <c r="A37" s="5" t="s">
        <v>34</v>
      </c>
      <c r="B37" s="6">
        <v>2020</v>
      </c>
      <c r="C37" s="6" t="s">
        <v>31</v>
      </c>
      <c r="D37" s="6">
        <v>144.30000000000001</v>
      </c>
      <c r="E37" s="6">
        <v>167.4</v>
      </c>
      <c r="F37" s="6">
        <v>154.9</v>
      </c>
      <c r="G37" s="6">
        <v>150.1</v>
      </c>
      <c r="H37" s="6">
        <v>129.9</v>
      </c>
      <c r="I37" s="6">
        <v>143.19999999999999</v>
      </c>
      <c r="J37" s="6">
        <v>197</v>
      </c>
      <c r="K37" s="6">
        <v>140.4</v>
      </c>
      <c r="L37" s="6">
        <v>114.1</v>
      </c>
      <c r="M37" s="6">
        <v>150.9</v>
      </c>
      <c r="N37" s="6">
        <v>136.1</v>
      </c>
      <c r="O37" s="6">
        <v>158.6</v>
      </c>
      <c r="P37" s="6">
        <v>153.5</v>
      </c>
      <c r="Q37" s="6">
        <v>169.2</v>
      </c>
      <c r="R37" s="6">
        <v>150.5</v>
      </c>
      <c r="S37" s="6">
        <v>141.5</v>
      </c>
      <c r="T37" s="6">
        <v>149.19999999999999</v>
      </c>
      <c r="U37" s="6">
        <v>153.9</v>
      </c>
      <c r="V37" s="6">
        <v>144.6</v>
      </c>
      <c r="W37" s="6">
        <v>146.19999999999999</v>
      </c>
      <c r="X37" s="6">
        <v>151.19999999999999</v>
      </c>
      <c r="Y37" s="6">
        <v>130.9</v>
      </c>
      <c r="Z37" s="6">
        <v>142.80000000000001</v>
      </c>
      <c r="AA37" s="6">
        <v>156.1</v>
      </c>
      <c r="AB37" s="6">
        <v>142.30000000000001</v>
      </c>
      <c r="AC37" s="6">
        <v>143.4</v>
      </c>
      <c r="AD37" s="9">
        <v>150.19999999999999</v>
      </c>
    </row>
    <row r="38" spans="1:30" x14ac:dyDescent="0.3">
      <c r="A38" s="3" t="s">
        <v>34</v>
      </c>
      <c r="B38" s="4">
        <v>2020</v>
      </c>
      <c r="C38" s="4" t="s">
        <v>35</v>
      </c>
      <c r="D38" s="4">
        <v>144.80000000000001</v>
      </c>
      <c r="E38" s="4">
        <v>167.5</v>
      </c>
      <c r="F38" s="4">
        <v>151.80000000000001</v>
      </c>
      <c r="G38" s="4">
        <v>150.80000000000001</v>
      </c>
      <c r="H38" s="4">
        <v>131.4</v>
      </c>
      <c r="I38" s="4">
        <v>141.80000000000001</v>
      </c>
      <c r="J38" s="4">
        <v>170.7</v>
      </c>
      <c r="K38" s="4">
        <v>141.1</v>
      </c>
      <c r="L38" s="4">
        <v>113.6</v>
      </c>
      <c r="M38" s="4">
        <v>152</v>
      </c>
      <c r="N38" s="4">
        <v>136.5</v>
      </c>
      <c r="O38" s="4">
        <v>159.1</v>
      </c>
      <c r="P38" s="4">
        <v>150.5</v>
      </c>
      <c r="Q38" s="4">
        <v>170.1</v>
      </c>
      <c r="R38" s="4">
        <v>150.80000000000001</v>
      </c>
      <c r="S38" s="4">
        <v>141.69999999999999</v>
      </c>
      <c r="T38" s="4">
        <v>149.5</v>
      </c>
      <c r="U38" s="4">
        <v>154.80000000000001</v>
      </c>
      <c r="V38" s="4">
        <v>147.19999999999999</v>
      </c>
      <c r="W38" s="4">
        <v>146.4</v>
      </c>
      <c r="X38" s="4">
        <v>151.69999999999999</v>
      </c>
      <c r="Y38" s="4">
        <v>130.30000000000001</v>
      </c>
      <c r="Z38" s="4">
        <v>143.19999999999999</v>
      </c>
      <c r="AA38" s="4">
        <v>156.19999999999999</v>
      </c>
      <c r="AB38" s="4">
        <v>143.4</v>
      </c>
      <c r="AC38" s="4">
        <v>143.6</v>
      </c>
      <c r="AD38" s="8">
        <v>149.1</v>
      </c>
    </row>
    <row r="39" spans="1:30" x14ac:dyDescent="0.3">
      <c r="A39" s="5" t="s">
        <v>34</v>
      </c>
      <c r="B39" s="6">
        <v>2020</v>
      </c>
      <c r="C39" s="6" t="s">
        <v>36</v>
      </c>
      <c r="D39" s="6">
        <v>145.1</v>
      </c>
      <c r="E39" s="6">
        <v>167</v>
      </c>
      <c r="F39" s="6">
        <v>148.1</v>
      </c>
      <c r="G39" s="6">
        <v>151.5</v>
      </c>
      <c r="H39" s="6">
        <v>131.19999999999999</v>
      </c>
      <c r="I39" s="6">
        <v>142.5</v>
      </c>
      <c r="J39" s="6">
        <v>157.30000000000001</v>
      </c>
      <c r="K39" s="6">
        <v>141.1</v>
      </c>
      <c r="L39" s="6">
        <v>113.2</v>
      </c>
      <c r="M39" s="6">
        <v>153.19999999999999</v>
      </c>
      <c r="N39" s="6">
        <v>136.69999999999999</v>
      </c>
      <c r="O39" s="6">
        <v>159.6</v>
      </c>
      <c r="P39" s="6">
        <v>148.9</v>
      </c>
      <c r="Q39" s="6">
        <v>171.2</v>
      </c>
      <c r="R39" s="6">
        <v>151.19999999999999</v>
      </c>
      <c r="S39" s="6">
        <v>141.9</v>
      </c>
      <c r="T39" s="6">
        <v>149.80000000000001</v>
      </c>
      <c r="U39" s="6">
        <v>154.5</v>
      </c>
      <c r="V39" s="6">
        <v>148.9</v>
      </c>
      <c r="W39" s="6">
        <v>146.4</v>
      </c>
      <c r="X39" s="6">
        <v>152.30000000000001</v>
      </c>
      <c r="Y39" s="6">
        <v>129.9</v>
      </c>
      <c r="Z39" s="6">
        <v>143.69999999999999</v>
      </c>
      <c r="AA39" s="6">
        <v>156.1</v>
      </c>
      <c r="AB39" s="6">
        <v>145.19999999999999</v>
      </c>
      <c r="AC39" s="6">
        <v>143.80000000000001</v>
      </c>
      <c r="AD39" s="9">
        <v>148.6</v>
      </c>
    </row>
    <row r="40" spans="1:30" x14ac:dyDescent="0.3">
      <c r="A40" s="3" t="s">
        <v>34</v>
      </c>
      <c r="B40" s="4">
        <v>2020</v>
      </c>
      <c r="C40" s="4" t="s">
        <v>37</v>
      </c>
      <c r="D40" s="4">
        <v>148.69999999999999</v>
      </c>
      <c r="E40" s="4" t="s">
        <v>32</v>
      </c>
      <c r="F40" s="4">
        <v>148.80000000000001</v>
      </c>
      <c r="G40" s="4">
        <v>155.6</v>
      </c>
      <c r="H40" s="4">
        <v>135.1</v>
      </c>
      <c r="I40" s="4">
        <v>149.9</v>
      </c>
      <c r="J40" s="4">
        <v>168.6</v>
      </c>
      <c r="K40" s="4">
        <v>150.4</v>
      </c>
      <c r="L40" s="4">
        <v>120.3</v>
      </c>
      <c r="M40" s="4">
        <v>157.1</v>
      </c>
      <c r="N40" s="4">
        <v>136.80000000000001</v>
      </c>
      <c r="O40" s="4" t="s">
        <v>32</v>
      </c>
      <c r="P40" s="4">
        <v>151.4</v>
      </c>
      <c r="Q40" s="4" t="s">
        <v>32</v>
      </c>
      <c r="R40" s="4" t="s">
        <v>32</v>
      </c>
      <c r="S40" s="4" t="s">
        <v>32</v>
      </c>
      <c r="T40" s="4" t="s">
        <v>32</v>
      </c>
      <c r="U40" s="4">
        <v>155.6</v>
      </c>
      <c r="V40" s="4">
        <v>144.1</v>
      </c>
      <c r="W40" s="4" t="s">
        <v>32</v>
      </c>
      <c r="X40" s="4">
        <v>150.69999999999999</v>
      </c>
      <c r="Y40" s="4" t="s">
        <v>32</v>
      </c>
      <c r="Z40" s="4" t="s">
        <v>32</v>
      </c>
      <c r="AA40" s="4" t="s">
        <v>32</v>
      </c>
      <c r="AB40" s="4" t="s">
        <v>32</v>
      </c>
      <c r="AC40" s="4" t="s">
        <v>32</v>
      </c>
      <c r="AD40" s="8" t="s">
        <v>32</v>
      </c>
    </row>
    <row r="41" spans="1:30" x14ac:dyDescent="0.3">
      <c r="A41" s="5" t="s">
        <v>34</v>
      </c>
      <c r="B41" s="6">
        <v>2020</v>
      </c>
      <c r="C41" s="6" t="s">
        <v>38</v>
      </c>
      <c r="D41" s="6" t="s">
        <v>32</v>
      </c>
      <c r="E41" s="6" t="s">
        <v>32</v>
      </c>
      <c r="F41" s="6" t="s">
        <v>32</v>
      </c>
      <c r="G41" s="6" t="s">
        <v>32</v>
      </c>
      <c r="H41" s="6" t="s">
        <v>32</v>
      </c>
      <c r="I41" s="6" t="s">
        <v>32</v>
      </c>
      <c r="J41" s="6" t="s">
        <v>32</v>
      </c>
      <c r="K41" s="6" t="s">
        <v>32</v>
      </c>
      <c r="L41" s="6" t="s">
        <v>32</v>
      </c>
      <c r="M41" s="6" t="s">
        <v>32</v>
      </c>
      <c r="N41" s="6" t="s">
        <v>32</v>
      </c>
      <c r="O41" s="6" t="s">
        <v>32</v>
      </c>
      <c r="P41" s="6" t="s">
        <v>32</v>
      </c>
      <c r="Q41" s="6" t="s">
        <v>32</v>
      </c>
      <c r="R41" s="6" t="s">
        <v>32</v>
      </c>
      <c r="S41" s="6" t="s">
        <v>32</v>
      </c>
      <c r="T41" s="6" t="s">
        <v>32</v>
      </c>
      <c r="U41" s="6" t="s">
        <v>32</v>
      </c>
      <c r="V41" s="6" t="s">
        <v>32</v>
      </c>
      <c r="W41" s="6" t="s">
        <v>32</v>
      </c>
      <c r="X41" s="6" t="s">
        <v>32</v>
      </c>
      <c r="Y41" s="6" t="s">
        <v>32</v>
      </c>
      <c r="Z41" s="6" t="s">
        <v>32</v>
      </c>
      <c r="AA41" s="6" t="s">
        <v>32</v>
      </c>
      <c r="AB41" s="6" t="s">
        <v>32</v>
      </c>
      <c r="AC41" s="6" t="s">
        <v>32</v>
      </c>
      <c r="AD41" s="9" t="s">
        <v>32</v>
      </c>
    </row>
    <row r="42" spans="1:30" x14ac:dyDescent="0.3">
      <c r="A42" s="3" t="s">
        <v>34</v>
      </c>
      <c r="B42" s="4">
        <v>2020</v>
      </c>
      <c r="C42" s="4" t="s">
        <v>39</v>
      </c>
      <c r="D42" s="4">
        <v>149.6</v>
      </c>
      <c r="E42" s="4">
        <v>192.7</v>
      </c>
      <c r="F42" s="4">
        <v>151.4</v>
      </c>
      <c r="G42" s="4">
        <v>153.30000000000001</v>
      </c>
      <c r="H42" s="4">
        <v>136.30000000000001</v>
      </c>
      <c r="I42" s="4">
        <v>147.19999999999999</v>
      </c>
      <c r="J42" s="4">
        <v>156.5</v>
      </c>
      <c r="K42" s="4">
        <v>150.9</v>
      </c>
      <c r="L42" s="4">
        <v>114.2</v>
      </c>
      <c r="M42" s="4">
        <v>159.5</v>
      </c>
      <c r="N42" s="4">
        <v>139.4</v>
      </c>
      <c r="O42" s="4">
        <v>161.80000000000001</v>
      </c>
      <c r="P42" s="4">
        <v>154</v>
      </c>
      <c r="Q42" s="4">
        <v>183.5</v>
      </c>
      <c r="R42" s="4">
        <v>152.5</v>
      </c>
      <c r="S42" s="4">
        <v>144.4</v>
      </c>
      <c r="T42" s="4">
        <v>151.4</v>
      </c>
      <c r="U42" s="4">
        <v>154.69999999999999</v>
      </c>
      <c r="V42" s="4">
        <v>141.9</v>
      </c>
      <c r="W42" s="4">
        <v>146.4</v>
      </c>
      <c r="X42" s="4">
        <v>154.4</v>
      </c>
      <c r="Y42" s="4">
        <v>135</v>
      </c>
      <c r="Z42" s="4">
        <v>148.30000000000001</v>
      </c>
      <c r="AA42" s="4">
        <v>156.4</v>
      </c>
      <c r="AB42" s="4">
        <v>151.6</v>
      </c>
      <c r="AC42" s="4">
        <v>147</v>
      </c>
      <c r="AD42" s="8">
        <v>151.80000000000001</v>
      </c>
    </row>
    <row r="43" spans="1:30" x14ac:dyDescent="0.3">
      <c r="A43" s="5" t="s">
        <v>34</v>
      </c>
      <c r="B43" s="6">
        <v>2020</v>
      </c>
      <c r="C43" s="6" t="s">
        <v>40</v>
      </c>
      <c r="D43" s="6">
        <v>149.6</v>
      </c>
      <c r="E43" s="6">
        <v>192.7</v>
      </c>
      <c r="F43" s="6">
        <v>151.4</v>
      </c>
      <c r="G43" s="6">
        <v>153.30000000000001</v>
      </c>
      <c r="H43" s="6">
        <v>136.30000000000001</v>
      </c>
      <c r="I43" s="6">
        <v>147.19999999999999</v>
      </c>
      <c r="J43" s="6">
        <v>156.5</v>
      </c>
      <c r="K43" s="6">
        <v>150.9</v>
      </c>
      <c r="L43" s="6">
        <v>114.2</v>
      </c>
      <c r="M43" s="6">
        <v>159.5</v>
      </c>
      <c r="N43" s="6">
        <v>139.4</v>
      </c>
      <c r="O43" s="6">
        <v>161.80000000000001</v>
      </c>
      <c r="P43" s="6">
        <v>154</v>
      </c>
      <c r="Q43" s="6">
        <v>183.5</v>
      </c>
      <c r="R43" s="6">
        <v>152.5</v>
      </c>
      <c r="S43" s="6">
        <v>144.4</v>
      </c>
      <c r="T43" s="6">
        <v>151.4</v>
      </c>
      <c r="U43" s="6">
        <v>154.69999999999999</v>
      </c>
      <c r="V43" s="6">
        <v>141.9</v>
      </c>
      <c r="W43" s="6">
        <v>146.4</v>
      </c>
      <c r="X43" s="6">
        <v>154.4</v>
      </c>
      <c r="Y43" s="6">
        <v>135</v>
      </c>
      <c r="Z43" s="6">
        <v>148.30000000000001</v>
      </c>
      <c r="AA43" s="6">
        <v>156.4</v>
      </c>
      <c r="AB43" s="6">
        <v>151.6</v>
      </c>
      <c r="AC43" s="6">
        <v>147</v>
      </c>
      <c r="AD43" s="9">
        <v>151.80000000000001</v>
      </c>
    </row>
    <row r="44" spans="1:30" x14ac:dyDescent="0.3">
      <c r="A44" s="3" t="s">
        <v>34</v>
      </c>
      <c r="B44" s="4">
        <v>2020</v>
      </c>
      <c r="C44" s="4" t="s">
        <v>41</v>
      </c>
      <c r="D44" s="4">
        <v>148.9</v>
      </c>
      <c r="E44" s="4">
        <v>190.9</v>
      </c>
      <c r="F44" s="4">
        <v>150.80000000000001</v>
      </c>
      <c r="G44" s="4">
        <v>153.30000000000001</v>
      </c>
      <c r="H44" s="4">
        <v>137.4</v>
      </c>
      <c r="I44" s="4">
        <v>150.4</v>
      </c>
      <c r="J44" s="4">
        <v>178.1</v>
      </c>
      <c r="K44" s="4">
        <v>150.4</v>
      </c>
      <c r="L44" s="4">
        <v>115.1</v>
      </c>
      <c r="M44" s="4">
        <v>160</v>
      </c>
      <c r="N44" s="4">
        <v>140.6</v>
      </c>
      <c r="O44" s="4">
        <v>162.30000000000001</v>
      </c>
      <c r="P44" s="4">
        <v>157</v>
      </c>
      <c r="Q44" s="4">
        <v>182.6</v>
      </c>
      <c r="R44" s="4">
        <v>153.1</v>
      </c>
      <c r="S44" s="4">
        <v>143.4</v>
      </c>
      <c r="T44" s="4">
        <v>151.69999999999999</v>
      </c>
      <c r="U44" s="4">
        <v>155.5</v>
      </c>
      <c r="V44" s="4">
        <v>143</v>
      </c>
      <c r="W44" s="4">
        <v>148.4</v>
      </c>
      <c r="X44" s="4">
        <v>155</v>
      </c>
      <c r="Y44" s="4">
        <v>138.5</v>
      </c>
      <c r="Z44" s="4">
        <v>146</v>
      </c>
      <c r="AA44" s="4">
        <v>158.5</v>
      </c>
      <c r="AB44" s="4">
        <v>154.30000000000001</v>
      </c>
      <c r="AC44" s="4">
        <v>149</v>
      </c>
      <c r="AD44" s="8">
        <v>153.9</v>
      </c>
    </row>
    <row r="45" spans="1:30" x14ac:dyDescent="0.3">
      <c r="A45" s="5" t="s">
        <v>34</v>
      </c>
      <c r="B45" s="6">
        <v>2020</v>
      </c>
      <c r="C45" s="6" t="s">
        <v>42</v>
      </c>
      <c r="D45" s="6">
        <v>148.4</v>
      </c>
      <c r="E45" s="6">
        <v>187.1</v>
      </c>
      <c r="F45" s="6">
        <v>152.5</v>
      </c>
      <c r="G45" s="6">
        <v>153.6</v>
      </c>
      <c r="H45" s="6">
        <v>138.19999999999999</v>
      </c>
      <c r="I45" s="6">
        <v>150.9</v>
      </c>
      <c r="J45" s="6">
        <v>186.7</v>
      </c>
      <c r="K45" s="6">
        <v>149.80000000000001</v>
      </c>
      <c r="L45" s="6">
        <v>116.4</v>
      </c>
      <c r="M45" s="6">
        <v>160.30000000000001</v>
      </c>
      <c r="N45" s="6">
        <v>142.19999999999999</v>
      </c>
      <c r="O45" s="6">
        <v>162.9</v>
      </c>
      <c r="P45" s="6">
        <v>158</v>
      </c>
      <c r="Q45" s="6">
        <v>184.4</v>
      </c>
      <c r="R45" s="6">
        <v>153.4</v>
      </c>
      <c r="S45" s="6">
        <v>144.30000000000001</v>
      </c>
      <c r="T45" s="6">
        <v>152</v>
      </c>
      <c r="U45" s="6">
        <v>156.30000000000001</v>
      </c>
      <c r="V45" s="6">
        <v>142.9</v>
      </c>
      <c r="W45" s="6">
        <v>148.69999999999999</v>
      </c>
      <c r="X45" s="6">
        <v>155.6</v>
      </c>
      <c r="Y45" s="6">
        <v>139.6</v>
      </c>
      <c r="Z45" s="6">
        <v>146.6</v>
      </c>
      <c r="AA45" s="6">
        <v>157.5</v>
      </c>
      <c r="AB45" s="6">
        <v>158.4</v>
      </c>
      <c r="AC45" s="6">
        <v>150</v>
      </c>
      <c r="AD45" s="9">
        <v>154.69999999999999</v>
      </c>
    </row>
    <row r="46" spans="1:30" x14ac:dyDescent="0.3">
      <c r="A46" s="3" t="s">
        <v>34</v>
      </c>
      <c r="B46" s="4">
        <v>2020</v>
      </c>
      <c r="C46" s="4" t="s">
        <v>43</v>
      </c>
      <c r="D46" s="4">
        <v>147.5</v>
      </c>
      <c r="E46" s="4">
        <v>188.9</v>
      </c>
      <c r="F46" s="4">
        <v>161.4</v>
      </c>
      <c r="G46" s="4">
        <v>153.6</v>
      </c>
      <c r="H46" s="4">
        <v>140.1</v>
      </c>
      <c r="I46" s="4">
        <v>151.19999999999999</v>
      </c>
      <c r="J46" s="4">
        <v>209.2</v>
      </c>
      <c r="K46" s="4">
        <v>150.9</v>
      </c>
      <c r="L46" s="4">
        <v>116.2</v>
      </c>
      <c r="M46" s="4">
        <v>161</v>
      </c>
      <c r="N46" s="4">
        <v>144</v>
      </c>
      <c r="O46" s="4">
        <v>163.19999999999999</v>
      </c>
      <c r="P46" s="4">
        <v>161.4</v>
      </c>
      <c r="Q46" s="4">
        <v>184.3</v>
      </c>
      <c r="R46" s="4">
        <v>153.69999999999999</v>
      </c>
      <c r="S46" s="4">
        <v>144.6</v>
      </c>
      <c r="T46" s="4">
        <v>152.30000000000001</v>
      </c>
      <c r="U46" s="4">
        <v>156.5</v>
      </c>
      <c r="V46" s="4">
        <v>143.1</v>
      </c>
      <c r="W46" s="4">
        <v>148.69999999999999</v>
      </c>
      <c r="X46" s="4">
        <v>156.30000000000001</v>
      </c>
      <c r="Y46" s="4">
        <v>140.6</v>
      </c>
      <c r="Z46" s="4">
        <v>146.5</v>
      </c>
      <c r="AA46" s="4">
        <v>158.5</v>
      </c>
      <c r="AB46" s="4">
        <v>157</v>
      </c>
      <c r="AC46" s="4">
        <v>150.4</v>
      </c>
      <c r="AD46" s="8">
        <v>156.4</v>
      </c>
    </row>
    <row r="47" spans="1:30" x14ac:dyDescent="0.3">
      <c r="A47" s="5" t="s">
        <v>34</v>
      </c>
      <c r="B47" s="6">
        <v>2020</v>
      </c>
      <c r="C47" s="6" t="s">
        <v>45</v>
      </c>
      <c r="D47" s="6">
        <v>146.80000000000001</v>
      </c>
      <c r="E47" s="6">
        <v>191</v>
      </c>
      <c r="F47" s="6">
        <v>173.6</v>
      </c>
      <c r="G47" s="6">
        <v>153.80000000000001</v>
      </c>
      <c r="H47" s="6">
        <v>142.69999999999999</v>
      </c>
      <c r="I47" s="6">
        <v>148.4</v>
      </c>
      <c r="J47" s="6">
        <v>230</v>
      </c>
      <c r="K47" s="6">
        <v>156.80000000000001</v>
      </c>
      <c r="L47" s="6">
        <v>115.7</v>
      </c>
      <c r="M47" s="6">
        <v>161.80000000000001</v>
      </c>
      <c r="N47" s="6">
        <v>146.5</v>
      </c>
      <c r="O47" s="6">
        <v>163.80000000000001</v>
      </c>
      <c r="P47" s="6">
        <v>164.7</v>
      </c>
      <c r="Q47" s="6">
        <v>184.8</v>
      </c>
      <c r="R47" s="6">
        <v>154.30000000000001</v>
      </c>
      <c r="S47" s="6">
        <v>144.9</v>
      </c>
      <c r="T47" s="6">
        <v>152.80000000000001</v>
      </c>
      <c r="U47" s="6">
        <v>158</v>
      </c>
      <c r="V47" s="6">
        <v>143.6</v>
      </c>
      <c r="W47" s="6">
        <v>149.19999999999999</v>
      </c>
      <c r="X47" s="6">
        <v>157.19999999999999</v>
      </c>
      <c r="Y47" s="6">
        <v>140.4</v>
      </c>
      <c r="Z47" s="6">
        <v>148.4</v>
      </c>
      <c r="AA47" s="6">
        <v>158.6</v>
      </c>
      <c r="AB47" s="6">
        <v>156.9</v>
      </c>
      <c r="AC47" s="6">
        <v>150.69999999999999</v>
      </c>
      <c r="AD47" s="9">
        <v>158.4</v>
      </c>
    </row>
    <row r="48" spans="1:30" x14ac:dyDescent="0.3">
      <c r="A48" s="3" t="s">
        <v>34</v>
      </c>
      <c r="B48" s="4">
        <v>2020</v>
      </c>
      <c r="C48" s="4" t="s">
        <v>46</v>
      </c>
      <c r="D48" s="4">
        <v>146</v>
      </c>
      <c r="E48" s="4">
        <v>191</v>
      </c>
      <c r="F48" s="4">
        <v>175.3</v>
      </c>
      <c r="G48" s="4">
        <v>154.1</v>
      </c>
      <c r="H48" s="4">
        <v>146.6</v>
      </c>
      <c r="I48" s="4">
        <v>147.69999999999999</v>
      </c>
      <c r="J48" s="4">
        <v>230.5</v>
      </c>
      <c r="K48" s="4">
        <v>160.19999999999999</v>
      </c>
      <c r="L48" s="4">
        <v>115.3</v>
      </c>
      <c r="M48" s="4">
        <v>163</v>
      </c>
      <c r="N48" s="4">
        <v>149.19999999999999</v>
      </c>
      <c r="O48" s="4">
        <v>164.8</v>
      </c>
      <c r="P48" s="4">
        <v>165.4</v>
      </c>
      <c r="Q48" s="4">
        <v>185.4</v>
      </c>
      <c r="R48" s="4">
        <v>155</v>
      </c>
      <c r="S48" s="4">
        <v>145.4</v>
      </c>
      <c r="T48" s="4">
        <v>153.6</v>
      </c>
      <c r="U48" s="4">
        <v>158.4</v>
      </c>
      <c r="V48" s="4">
        <v>144.6</v>
      </c>
      <c r="W48" s="4">
        <v>149.69999999999999</v>
      </c>
      <c r="X48" s="4">
        <v>158.30000000000001</v>
      </c>
      <c r="Y48" s="4">
        <v>140.69999999999999</v>
      </c>
      <c r="Z48" s="4">
        <v>148.5</v>
      </c>
      <c r="AA48" s="4">
        <v>159.4</v>
      </c>
      <c r="AB48" s="4">
        <v>157.1</v>
      </c>
      <c r="AC48" s="4">
        <v>151.19999999999999</v>
      </c>
      <c r="AD48" s="8">
        <v>158.9</v>
      </c>
    </row>
    <row r="49" spans="1:30" x14ac:dyDescent="0.3">
      <c r="A49" s="5" t="s">
        <v>34</v>
      </c>
      <c r="B49" s="6">
        <v>2021</v>
      </c>
      <c r="C49" s="6" t="s">
        <v>31</v>
      </c>
      <c r="D49" s="6">
        <v>144.9</v>
      </c>
      <c r="E49" s="6">
        <v>190.1</v>
      </c>
      <c r="F49" s="6">
        <v>175.3</v>
      </c>
      <c r="G49" s="6">
        <v>154.1</v>
      </c>
      <c r="H49" s="6">
        <v>150.9</v>
      </c>
      <c r="I49" s="6">
        <v>149.6</v>
      </c>
      <c r="J49" s="6">
        <v>194.2</v>
      </c>
      <c r="K49" s="6">
        <v>160.4</v>
      </c>
      <c r="L49" s="6">
        <v>114.6</v>
      </c>
      <c r="M49" s="6">
        <v>164</v>
      </c>
      <c r="N49" s="6">
        <v>151.80000000000001</v>
      </c>
      <c r="O49" s="6">
        <v>165.6</v>
      </c>
      <c r="P49" s="6">
        <v>161</v>
      </c>
      <c r="Q49" s="6">
        <v>186.5</v>
      </c>
      <c r="R49" s="6">
        <v>155.5</v>
      </c>
      <c r="S49" s="6">
        <v>146.1</v>
      </c>
      <c r="T49" s="6">
        <v>154.19999999999999</v>
      </c>
      <c r="U49" s="6">
        <v>157.69999999999999</v>
      </c>
      <c r="V49" s="6">
        <v>147.9</v>
      </c>
      <c r="W49" s="6">
        <v>150</v>
      </c>
      <c r="X49" s="6">
        <v>159.30000000000001</v>
      </c>
      <c r="Y49" s="6">
        <v>141.9</v>
      </c>
      <c r="Z49" s="6">
        <v>149.6</v>
      </c>
      <c r="AA49" s="6">
        <v>159.19999999999999</v>
      </c>
      <c r="AB49" s="6">
        <v>156.80000000000001</v>
      </c>
      <c r="AC49" s="6">
        <v>151.9</v>
      </c>
      <c r="AD49" s="9">
        <v>157.30000000000001</v>
      </c>
    </row>
    <row r="50" spans="1:30" x14ac:dyDescent="0.3">
      <c r="A50" s="3" t="s">
        <v>34</v>
      </c>
      <c r="B50" s="4">
        <v>2021</v>
      </c>
      <c r="C50" s="4" t="s">
        <v>35</v>
      </c>
      <c r="D50" s="4">
        <v>144.30000000000001</v>
      </c>
      <c r="E50" s="4">
        <v>186.5</v>
      </c>
      <c r="F50" s="4">
        <v>168.7</v>
      </c>
      <c r="G50" s="4">
        <v>154.69999999999999</v>
      </c>
      <c r="H50" s="4">
        <v>158.69999999999999</v>
      </c>
      <c r="I50" s="4">
        <v>150.69999999999999</v>
      </c>
      <c r="J50" s="4">
        <v>160</v>
      </c>
      <c r="K50" s="4">
        <v>158.80000000000001</v>
      </c>
      <c r="L50" s="4">
        <v>112.8</v>
      </c>
      <c r="M50" s="4">
        <v>164.2</v>
      </c>
      <c r="N50" s="4">
        <v>155.5</v>
      </c>
      <c r="O50" s="4">
        <v>167.5</v>
      </c>
      <c r="P50" s="4">
        <v>156.9</v>
      </c>
      <c r="Q50" s="4">
        <v>188.3</v>
      </c>
      <c r="R50" s="4">
        <v>157.19999999999999</v>
      </c>
      <c r="S50" s="4">
        <v>147.4</v>
      </c>
      <c r="T50" s="4">
        <v>155.80000000000001</v>
      </c>
      <c r="U50" s="4">
        <v>159.80000000000001</v>
      </c>
      <c r="V50" s="4">
        <v>152.4</v>
      </c>
      <c r="W50" s="4">
        <v>150.9</v>
      </c>
      <c r="X50" s="4">
        <v>161.30000000000001</v>
      </c>
      <c r="Y50" s="4">
        <v>145.1</v>
      </c>
      <c r="Z50" s="4">
        <v>151.5</v>
      </c>
      <c r="AA50" s="4">
        <v>159.5</v>
      </c>
      <c r="AB50" s="4">
        <v>155.80000000000001</v>
      </c>
      <c r="AC50" s="4">
        <v>153.4</v>
      </c>
      <c r="AD50" s="8">
        <v>156.6</v>
      </c>
    </row>
    <row r="51" spans="1:30" x14ac:dyDescent="0.3">
      <c r="A51" s="5" t="s">
        <v>34</v>
      </c>
      <c r="B51" s="6">
        <v>2021</v>
      </c>
      <c r="C51" s="6" t="s">
        <v>36</v>
      </c>
      <c r="D51" s="6">
        <v>144.1</v>
      </c>
      <c r="E51" s="6">
        <v>192.2</v>
      </c>
      <c r="F51" s="6">
        <v>163.80000000000001</v>
      </c>
      <c r="G51" s="6">
        <v>154.9</v>
      </c>
      <c r="H51" s="6">
        <v>163.9</v>
      </c>
      <c r="I51" s="6">
        <v>153.69999999999999</v>
      </c>
      <c r="J51" s="6">
        <v>149.5</v>
      </c>
      <c r="K51" s="6">
        <v>159.80000000000001</v>
      </c>
      <c r="L51" s="6">
        <v>112.6</v>
      </c>
      <c r="M51" s="6">
        <v>163.5</v>
      </c>
      <c r="N51" s="6">
        <v>156.5</v>
      </c>
      <c r="O51" s="6">
        <v>168.2</v>
      </c>
      <c r="P51" s="6">
        <v>156.69999999999999</v>
      </c>
      <c r="Q51" s="6">
        <v>188.1</v>
      </c>
      <c r="R51" s="6">
        <v>157.80000000000001</v>
      </c>
      <c r="S51" s="6">
        <v>147.9</v>
      </c>
      <c r="T51" s="6">
        <v>156.4</v>
      </c>
      <c r="U51" s="6">
        <v>159.9</v>
      </c>
      <c r="V51" s="6">
        <v>155.5</v>
      </c>
      <c r="W51" s="6">
        <v>151.19999999999999</v>
      </c>
      <c r="X51" s="6">
        <v>161.69999999999999</v>
      </c>
      <c r="Y51" s="6">
        <v>146.19999999999999</v>
      </c>
      <c r="Z51" s="6">
        <v>152.6</v>
      </c>
      <c r="AA51" s="6">
        <v>160.19999999999999</v>
      </c>
      <c r="AB51" s="6">
        <v>153.80000000000001</v>
      </c>
      <c r="AC51" s="6">
        <v>153.80000000000001</v>
      </c>
      <c r="AD51" s="9">
        <v>156.80000000000001</v>
      </c>
    </row>
    <row r="52" spans="1:30" x14ac:dyDescent="0.3">
      <c r="A52" s="3" t="s">
        <v>34</v>
      </c>
      <c r="B52" s="4">
        <v>2021</v>
      </c>
      <c r="C52" s="4" t="s">
        <v>37</v>
      </c>
      <c r="D52" s="4">
        <v>144.30000000000001</v>
      </c>
      <c r="E52" s="4">
        <v>198</v>
      </c>
      <c r="F52" s="4">
        <v>164.6</v>
      </c>
      <c r="G52" s="4">
        <v>155.4</v>
      </c>
      <c r="H52" s="4">
        <v>170.1</v>
      </c>
      <c r="I52" s="4">
        <v>164.4</v>
      </c>
      <c r="J52" s="4">
        <v>144.1</v>
      </c>
      <c r="K52" s="4">
        <v>161.69999999999999</v>
      </c>
      <c r="L52" s="4">
        <v>113.1</v>
      </c>
      <c r="M52" s="4">
        <v>163.9</v>
      </c>
      <c r="N52" s="4">
        <v>157.6</v>
      </c>
      <c r="O52" s="4">
        <v>168.9</v>
      </c>
      <c r="P52" s="4">
        <v>158</v>
      </c>
      <c r="Q52" s="4">
        <v>188.8</v>
      </c>
      <c r="R52" s="4">
        <v>158.80000000000001</v>
      </c>
      <c r="S52" s="4">
        <v>148.5</v>
      </c>
      <c r="T52" s="4">
        <v>157.30000000000001</v>
      </c>
      <c r="U52" s="4">
        <v>161.4</v>
      </c>
      <c r="V52" s="4">
        <v>155.6</v>
      </c>
      <c r="W52" s="4">
        <v>151.80000000000001</v>
      </c>
      <c r="X52" s="4">
        <v>162.30000000000001</v>
      </c>
      <c r="Y52" s="4">
        <v>146.6</v>
      </c>
      <c r="Z52" s="4">
        <v>153.19999999999999</v>
      </c>
      <c r="AA52" s="4">
        <v>160.30000000000001</v>
      </c>
      <c r="AB52" s="4">
        <v>155.4</v>
      </c>
      <c r="AC52" s="4">
        <v>154.4</v>
      </c>
      <c r="AD52" s="8">
        <v>157.80000000000001</v>
      </c>
    </row>
    <row r="53" spans="1:30" x14ac:dyDescent="0.3">
      <c r="A53" s="5" t="s">
        <v>34</v>
      </c>
      <c r="B53" s="6">
        <v>2021</v>
      </c>
      <c r="C53" s="6" t="s">
        <v>38</v>
      </c>
      <c r="D53" s="6">
        <v>146.30000000000001</v>
      </c>
      <c r="E53" s="6">
        <v>200.5</v>
      </c>
      <c r="F53" s="6">
        <v>170.3</v>
      </c>
      <c r="G53" s="6">
        <v>156.1</v>
      </c>
      <c r="H53" s="6">
        <v>178.7</v>
      </c>
      <c r="I53" s="6">
        <v>167.1</v>
      </c>
      <c r="J53" s="6">
        <v>147.9</v>
      </c>
      <c r="K53" s="6">
        <v>165.4</v>
      </c>
      <c r="L53" s="6">
        <v>114.8</v>
      </c>
      <c r="M53" s="6">
        <v>168.2</v>
      </c>
      <c r="N53" s="6">
        <v>159.30000000000001</v>
      </c>
      <c r="O53" s="6">
        <v>170.4</v>
      </c>
      <c r="P53" s="6">
        <v>160.69999999999999</v>
      </c>
      <c r="Q53" s="6">
        <v>191.9</v>
      </c>
      <c r="R53" s="6">
        <v>161.80000000000001</v>
      </c>
      <c r="S53" s="6">
        <v>152.1</v>
      </c>
      <c r="T53" s="6">
        <v>160.4</v>
      </c>
      <c r="U53" s="6">
        <v>161.6</v>
      </c>
      <c r="V53" s="6">
        <v>159.4</v>
      </c>
      <c r="W53" s="6">
        <v>154.69999999999999</v>
      </c>
      <c r="X53" s="6">
        <v>165.8</v>
      </c>
      <c r="Y53" s="6">
        <v>148.9</v>
      </c>
      <c r="Z53" s="6">
        <v>155.80000000000001</v>
      </c>
      <c r="AA53" s="6">
        <v>161.19999999999999</v>
      </c>
      <c r="AB53" s="6">
        <v>158.6</v>
      </c>
      <c r="AC53" s="6">
        <v>156.80000000000001</v>
      </c>
      <c r="AD53" s="9">
        <v>160.4</v>
      </c>
    </row>
    <row r="54" spans="1:30" x14ac:dyDescent="0.3">
      <c r="A54" s="3" t="s">
        <v>34</v>
      </c>
      <c r="B54" s="4">
        <v>2021</v>
      </c>
      <c r="C54" s="4" t="s">
        <v>39</v>
      </c>
      <c r="D54" s="4">
        <v>146.69999999999999</v>
      </c>
      <c r="E54" s="4">
        <v>202</v>
      </c>
      <c r="F54" s="4">
        <v>180.7</v>
      </c>
      <c r="G54" s="4">
        <v>156.19999999999999</v>
      </c>
      <c r="H54" s="4">
        <v>183.7</v>
      </c>
      <c r="I54" s="4">
        <v>164.6</v>
      </c>
      <c r="J54" s="4">
        <v>155.4</v>
      </c>
      <c r="K54" s="4">
        <v>166</v>
      </c>
      <c r="L54" s="4">
        <v>115.1</v>
      </c>
      <c r="M54" s="4">
        <v>168.5</v>
      </c>
      <c r="N54" s="4">
        <v>160</v>
      </c>
      <c r="O54" s="4">
        <v>172.4</v>
      </c>
      <c r="P54" s="4">
        <v>162.6</v>
      </c>
      <c r="Q54" s="4">
        <v>190.8</v>
      </c>
      <c r="R54" s="4">
        <v>162.19999999999999</v>
      </c>
      <c r="S54" s="4">
        <v>151.80000000000001</v>
      </c>
      <c r="T54" s="4">
        <v>160.69999999999999</v>
      </c>
      <c r="U54" s="4">
        <v>160.5</v>
      </c>
      <c r="V54" s="4">
        <v>159.80000000000001</v>
      </c>
      <c r="W54" s="4">
        <v>154.80000000000001</v>
      </c>
      <c r="X54" s="4">
        <v>166.3</v>
      </c>
      <c r="Y54" s="4">
        <v>150.69999999999999</v>
      </c>
      <c r="Z54" s="4">
        <v>154.9</v>
      </c>
      <c r="AA54" s="4">
        <v>161.69999999999999</v>
      </c>
      <c r="AB54" s="4">
        <v>158.80000000000001</v>
      </c>
      <c r="AC54" s="4">
        <v>157.6</v>
      </c>
      <c r="AD54" s="8">
        <v>161.30000000000001</v>
      </c>
    </row>
    <row r="55" spans="1:30" x14ac:dyDescent="0.3">
      <c r="A55" s="5" t="s">
        <v>34</v>
      </c>
      <c r="B55" s="6">
        <v>2021</v>
      </c>
      <c r="C55" s="6" t="s">
        <v>40</v>
      </c>
      <c r="D55" s="6">
        <v>146.4</v>
      </c>
      <c r="E55" s="6">
        <v>206.8</v>
      </c>
      <c r="F55" s="6">
        <v>182.2</v>
      </c>
      <c r="G55" s="6">
        <v>157.5</v>
      </c>
      <c r="H55" s="6">
        <v>182.1</v>
      </c>
      <c r="I55" s="6">
        <v>163.9</v>
      </c>
      <c r="J55" s="6">
        <v>164.2</v>
      </c>
      <c r="K55" s="6">
        <v>164</v>
      </c>
      <c r="L55" s="6">
        <v>114.5</v>
      </c>
      <c r="M55" s="6">
        <v>168.3</v>
      </c>
      <c r="N55" s="6">
        <v>160.9</v>
      </c>
      <c r="O55" s="6">
        <v>172.2</v>
      </c>
      <c r="P55" s="6">
        <v>164</v>
      </c>
      <c r="Q55" s="6">
        <v>191.2</v>
      </c>
      <c r="R55" s="6">
        <v>162.80000000000001</v>
      </c>
      <c r="S55" s="6">
        <v>153.1</v>
      </c>
      <c r="T55" s="6">
        <v>161.4</v>
      </c>
      <c r="U55" s="6">
        <v>161.5</v>
      </c>
      <c r="V55" s="6">
        <v>160.69999999999999</v>
      </c>
      <c r="W55" s="6">
        <v>155.80000000000001</v>
      </c>
      <c r="X55" s="6">
        <v>167</v>
      </c>
      <c r="Y55" s="6">
        <v>153.1</v>
      </c>
      <c r="Z55" s="6">
        <v>155.30000000000001</v>
      </c>
      <c r="AA55" s="6">
        <v>163.19999999999999</v>
      </c>
      <c r="AB55" s="6">
        <v>160.1</v>
      </c>
      <c r="AC55" s="6">
        <v>159</v>
      </c>
      <c r="AD55" s="9">
        <v>162.5</v>
      </c>
    </row>
    <row r="56" spans="1:30" x14ac:dyDescent="0.3">
      <c r="A56" s="3" t="s">
        <v>34</v>
      </c>
      <c r="B56" s="4">
        <v>2021</v>
      </c>
      <c r="C56" s="4" t="s">
        <v>41</v>
      </c>
      <c r="D56" s="4">
        <v>146.6</v>
      </c>
      <c r="E56" s="4">
        <v>204</v>
      </c>
      <c r="F56" s="4">
        <v>172.8</v>
      </c>
      <c r="G56" s="4">
        <v>158.4</v>
      </c>
      <c r="H56" s="4">
        <v>188</v>
      </c>
      <c r="I56" s="4">
        <v>156.80000000000001</v>
      </c>
      <c r="J56" s="4">
        <v>162.19999999999999</v>
      </c>
      <c r="K56" s="4">
        <v>164.1</v>
      </c>
      <c r="L56" s="4">
        <v>119.7</v>
      </c>
      <c r="M56" s="4">
        <v>168.8</v>
      </c>
      <c r="N56" s="4">
        <v>162.69999999999999</v>
      </c>
      <c r="O56" s="4">
        <v>173.9</v>
      </c>
      <c r="P56" s="4">
        <v>164</v>
      </c>
      <c r="Q56" s="4">
        <v>192.1</v>
      </c>
      <c r="R56" s="4">
        <v>164.5</v>
      </c>
      <c r="S56" s="4">
        <v>155.30000000000001</v>
      </c>
      <c r="T56" s="4">
        <v>163.19999999999999</v>
      </c>
      <c r="U56" s="4">
        <v>162.1</v>
      </c>
      <c r="V56" s="4">
        <v>162.6</v>
      </c>
      <c r="W56" s="4">
        <v>157.5</v>
      </c>
      <c r="X56" s="4">
        <v>168.4</v>
      </c>
      <c r="Y56" s="4">
        <v>154</v>
      </c>
      <c r="Z56" s="4">
        <v>157.6</v>
      </c>
      <c r="AA56" s="4">
        <v>163.80000000000001</v>
      </c>
      <c r="AB56" s="4">
        <v>160</v>
      </c>
      <c r="AC56" s="4">
        <v>160</v>
      </c>
      <c r="AD56" s="8">
        <v>163.19999999999999</v>
      </c>
    </row>
    <row r="57" spans="1:30" x14ac:dyDescent="0.3">
      <c r="A57" s="5" t="s">
        <v>34</v>
      </c>
      <c r="B57" s="6">
        <v>2021</v>
      </c>
      <c r="C57" s="6" t="s">
        <v>42</v>
      </c>
      <c r="D57" s="6">
        <v>146.6</v>
      </c>
      <c r="E57" s="6">
        <v>204</v>
      </c>
      <c r="F57" s="6">
        <v>172.8</v>
      </c>
      <c r="G57" s="6">
        <v>158.4</v>
      </c>
      <c r="H57" s="6">
        <v>188</v>
      </c>
      <c r="I57" s="6">
        <v>156.69999999999999</v>
      </c>
      <c r="J57" s="6">
        <v>162.30000000000001</v>
      </c>
      <c r="K57" s="6">
        <v>164.1</v>
      </c>
      <c r="L57" s="6">
        <v>119.7</v>
      </c>
      <c r="M57" s="6">
        <v>168.8</v>
      </c>
      <c r="N57" s="6">
        <v>162.69999999999999</v>
      </c>
      <c r="O57" s="6">
        <v>173.9</v>
      </c>
      <c r="P57" s="6">
        <v>164</v>
      </c>
      <c r="Q57" s="6">
        <v>192.1</v>
      </c>
      <c r="R57" s="6">
        <v>164.6</v>
      </c>
      <c r="S57" s="6">
        <v>155.30000000000001</v>
      </c>
      <c r="T57" s="6">
        <v>163.30000000000001</v>
      </c>
      <c r="U57" s="6">
        <v>162.1</v>
      </c>
      <c r="V57" s="6">
        <v>162.6</v>
      </c>
      <c r="W57" s="6">
        <v>157.5</v>
      </c>
      <c r="X57" s="6">
        <v>168.4</v>
      </c>
      <c r="Y57" s="6">
        <v>154</v>
      </c>
      <c r="Z57" s="6">
        <v>157.69999999999999</v>
      </c>
      <c r="AA57" s="6">
        <v>163.69999999999999</v>
      </c>
      <c r="AB57" s="6">
        <v>160</v>
      </c>
      <c r="AC57" s="6">
        <v>160</v>
      </c>
      <c r="AD57" s="9">
        <v>163.19999999999999</v>
      </c>
    </row>
    <row r="58" spans="1:30" x14ac:dyDescent="0.3">
      <c r="A58" s="3" t="s">
        <v>34</v>
      </c>
      <c r="B58" s="4">
        <v>2021</v>
      </c>
      <c r="C58" s="4" t="s">
        <v>43</v>
      </c>
      <c r="D58" s="4">
        <v>147.4</v>
      </c>
      <c r="E58" s="4">
        <v>204.6</v>
      </c>
      <c r="F58" s="4">
        <v>171.2</v>
      </c>
      <c r="G58" s="4">
        <v>158.69999999999999</v>
      </c>
      <c r="H58" s="4">
        <v>190.6</v>
      </c>
      <c r="I58" s="4">
        <v>155.69999999999999</v>
      </c>
      <c r="J58" s="4">
        <v>185.3</v>
      </c>
      <c r="K58" s="4">
        <v>165.2</v>
      </c>
      <c r="L58" s="4">
        <v>121.9</v>
      </c>
      <c r="M58" s="4">
        <v>169.3</v>
      </c>
      <c r="N58" s="4">
        <v>163.19999999999999</v>
      </c>
      <c r="O58" s="4">
        <v>174.7</v>
      </c>
      <c r="P58" s="4">
        <v>167.7</v>
      </c>
      <c r="Q58" s="4">
        <v>192.7</v>
      </c>
      <c r="R58" s="4">
        <v>165.7</v>
      </c>
      <c r="S58" s="4">
        <v>156.30000000000001</v>
      </c>
      <c r="T58" s="4">
        <v>164.3</v>
      </c>
      <c r="U58" s="4">
        <v>163.6</v>
      </c>
      <c r="V58" s="4">
        <v>164.2</v>
      </c>
      <c r="W58" s="4">
        <v>158.4</v>
      </c>
      <c r="X58" s="4">
        <v>169.1</v>
      </c>
      <c r="Y58" s="4">
        <v>155.69999999999999</v>
      </c>
      <c r="Z58" s="4">
        <v>158.6</v>
      </c>
      <c r="AA58" s="4">
        <v>163.9</v>
      </c>
      <c r="AB58" s="4">
        <v>160.80000000000001</v>
      </c>
      <c r="AC58" s="4">
        <v>161</v>
      </c>
      <c r="AD58" s="8">
        <v>165.5</v>
      </c>
    </row>
    <row r="59" spans="1:30" x14ac:dyDescent="0.3">
      <c r="A59" s="5" t="s">
        <v>34</v>
      </c>
      <c r="B59" s="6">
        <v>2021</v>
      </c>
      <c r="C59" s="6" t="s">
        <v>45</v>
      </c>
      <c r="D59" s="6">
        <v>148.19999999999999</v>
      </c>
      <c r="E59" s="6">
        <v>201.6</v>
      </c>
      <c r="F59" s="6">
        <v>173</v>
      </c>
      <c r="G59" s="6">
        <v>159.30000000000001</v>
      </c>
      <c r="H59" s="6">
        <v>190.1</v>
      </c>
      <c r="I59" s="6">
        <v>156.5</v>
      </c>
      <c r="J59" s="6">
        <v>199.2</v>
      </c>
      <c r="K59" s="6">
        <v>165.3</v>
      </c>
      <c r="L59" s="6">
        <v>122.4</v>
      </c>
      <c r="M59" s="6">
        <v>169.6</v>
      </c>
      <c r="N59" s="6">
        <v>163.69999999999999</v>
      </c>
      <c r="O59" s="6">
        <v>175.5</v>
      </c>
      <c r="P59" s="6">
        <v>169.7</v>
      </c>
      <c r="Q59" s="6">
        <v>192.9</v>
      </c>
      <c r="R59" s="6">
        <v>167.2</v>
      </c>
      <c r="S59" s="6">
        <v>157.4</v>
      </c>
      <c r="T59" s="6">
        <v>165.8</v>
      </c>
      <c r="U59" s="6">
        <v>164.2</v>
      </c>
      <c r="V59" s="6">
        <v>163.9</v>
      </c>
      <c r="W59" s="6">
        <v>159.30000000000001</v>
      </c>
      <c r="X59" s="6">
        <v>169.9</v>
      </c>
      <c r="Y59" s="6">
        <v>154.80000000000001</v>
      </c>
      <c r="Z59" s="6">
        <v>159.80000000000001</v>
      </c>
      <c r="AA59" s="6">
        <v>164.3</v>
      </c>
      <c r="AB59" s="6">
        <v>162.19999999999999</v>
      </c>
      <c r="AC59" s="6">
        <v>161.4</v>
      </c>
      <c r="AD59" s="9">
        <v>166.7</v>
      </c>
    </row>
    <row r="60" spans="1:30" x14ac:dyDescent="0.3">
      <c r="A60" s="3" t="s">
        <v>34</v>
      </c>
      <c r="B60" s="4">
        <v>2021</v>
      </c>
      <c r="C60" s="4" t="s">
        <v>46</v>
      </c>
      <c r="D60" s="4">
        <v>148.69999999999999</v>
      </c>
      <c r="E60" s="4">
        <v>198.8</v>
      </c>
      <c r="F60" s="4">
        <v>177.9</v>
      </c>
      <c r="G60" s="4">
        <v>159.9</v>
      </c>
      <c r="H60" s="4">
        <v>187.6</v>
      </c>
      <c r="I60" s="4">
        <v>154.9</v>
      </c>
      <c r="J60" s="4">
        <v>188.3</v>
      </c>
      <c r="K60" s="4">
        <v>164.4</v>
      </c>
      <c r="L60" s="4">
        <v>121</v>
      </c>
      <c r="M60" s="4">
        <v>170.5</v>
      </c>
      <c r="N60" s="4">
        <v>164.2</v>
      </c>
      <c r="O60" s="4">
        <v>176.5</v>
      </c>
      <c r="P60" s="4">
        <v>168.2</v>
      </c>
      <c r="Q60" s="4">
        <v>192.4</v>
      </c>
      <c r="R60" s="4">
        <v>168.5</v>
      </c>
      <c r="S60" s="4">
        <v>158.69999999999999</v>
      </c>
      <c r="T60" s="4">
        <v>167</v>
      </c>
      <c r="U60" s="4">
        <v>163.4</v>
      </c>
      <c r="V60" s="4">
        <v>164.1</v>
      </c>
      <c r="W60" s="4">
        <v>160.19999999999999</v>
      </c>
      <c r="X60" s="4">
        <v>170.6</v>
      </c>
      <c r="Y60" s="4">
        <v>155.69999999999999</v>
      </c>
      <c r="Z60" s="4">
        <v>160.6</v>
      </c>
      <c r="AA60" s="4">
        <v>164.4</v>
      </c>
      <c r="AB60" s="4">
        <v>162.6</v>
      </c>
      <c r="AC60" s="4">
        <v>162</v>
      </c>
      <c r="AD60" s="8">
        <v>166.2</v>
      </c>
    </row>
    <row r="61" spans="1:30" x14ac:dyDescent="0.3">
      <c r="A61" s="5" t="s">
        <v>34</v>
      </c>
      <c r="B61" s="6">
        <v>2022</v>
      </c>
      <c r="C61" s="6" t="s">
        <v>31</v>
      </c>
      <c r="D61" s="6">
        <v>149.5</v>
      </c>
      <c r="E61" s="6">
        <v>198.7</v>
      </c>
      <c r="F61" s="6">
        <v>178.8</v>
      </c>
      <c r="G61" s="6">
        <v>160.5</v>
      </c>
      <c r="H61" s="6">
        <v>184.7</v>
      </c>
      <c r="I61" s="6">
        <v>153.69999999999999</v>
      </c>
      <c r="J61" s="6">
        <v>174.3</v>
      </c>
      <c r="K61" s="6">
        <v>163.9</v>
      </c>
      <c r="L61" s="6">
        <v>120</v>
      </c>
      <c r="M61" s="6">
        <v>172.1</v>
      </c>
      <c r="N61" s="6">
        <v>164.3</v>
      </c>
      <c r="O61" s="6">
        <v>177.3</v>
      </c>
      <c r="P61" s="6">
        <v>166.4</v>
      </c>
      <c r="Q61" s="6">
        <v>192.2</v>
      </c>
      <c r="R61" s="6">
        <v>169.9</v>
      </c>
      <c r="S61" s="6">
        <v>160.69999999999999</v>
      </c>
      <c r="T61" s="6">
        <v>168.5</v>
      </c>
      <c r="U61" s="6">
        <v>164.5</v>
      </c>
      <c r="V61" s="6">
        <v>164.2</v>
      </c>
      <c r="W61" s="6">
        <v>161.1</v>
      </c>
      <c r="X61" s="6">
        <v>171.4</v>
      </c>
      <c r="Y61" s="6">
        <v>156.5</v>
      </c>
      <c r="Z61" s="6">
        <v>161.19999999999999</v>
      </c>
      <c r="AA61" s="6">
        <v>164.7</v>
      </c>
      <c r="AB61" s="6">
        <v>163</v>
      </c>
      <c r="AC61" s="6">
        <v>162.69999999999999</v>
      </c>
      <c r="AD61" s="9">
        <v>165.7</v>
      </c>
    </row>
    <row r="62" spans="1:30" x14ac:dyDescent="0.3">
      <c r="A62" s="3" t="s">
        <v>34</v>
      </c>
      <c r="B62" s="4">
        <v>2022</v>
      </c>
      <c r="C62" s="4" t="s">
        <v>35</v>
      </c>
      <c r="D62" s="4">
        <v>150</v>
      </c>
      <c r="E62" s="4">
        <v>200.6</v>
      </c>
      <c r="F62" s="4">
        <v>175.8</v>
      </c>
      <c r="G62" s="4">
        <v>160.69999999999999</v>
      </c>
      <c r="H62" s="4">
        <v>184.9</v>
      </c>
      <c r="I62" s="4">
        <v>153.69999999999999</v>
      </c>
      <c r="J62" s="4">
        <v>169.7</v>
      </c>
      <c r="K62" s="4">
        <v>163.69999999999999</v>
      </c>
      <c r="L62" s="4">
        <v>118.9</v>
      </c>
      <c r="M62" s="4">
        <v>174.3</v>
      </c>
      <c r="N62" s="4">
        <v>164.7</v>
      </c>
      <c r="O62" s="4">
        <v>178</v>
      </c>
      <c r="P62" s="4">
        <v>166.2</v>
      </c>
      <c r="Q62" s="4">
        <v>192.8</v>
      </c>
      <c r="R62" s="4">
        <v>170.8</v>
      </c>
      <c r="S62" s="4">
        <v>162.4</v>
      </c>
      <c r="T62" s="4">
        <v>169.6</v>
      </c>
      <c r="U62" s="4">
        <v>165.5</v>
      </c>
      <c r="V62" s="4">
        <v>165.7</v>
      </c>
      <c r="W62" s="4">
        <v>161.80000000000001</v>
      </c>
      <c r="X62" s="4">
        <v>172.2</v>
      </c>
      <c r="Y62" s="4">
        <v>156.9</v>
      </c>
      <c r="Z62" s="4">
        <v>162.1</v>
      </c>
      <c r="AA62" s="4">
        <v>165.4</v>
      </c>
      <c r="AB62" s="4">
        <v>164.4</v>
      </c>
      <c r="AC62" s="4">
        <v>163.5</v>
      </c>
      <c r="AD62" s="8">
        <v>166.1</v>
      </c>
    </row>
    <row r="63" spans="1:30" x14ac:dyDescent="0.3">
      <c r="A63" s="5" t="s">
        <v>34</v>
      </c>
      <c r="B63" s="6">
        <v>2022</v>
      </c>
      <c r="C63" s="6" t="s">
        <v>36</v>
      </c>
      <c r="D63" s="6">
        <v>151.30000000000001</v>
      </c>
      <c r="E63" s="6">
        <v>210.7</v>
      </c>
      <c r="F63" s="6">
        <v>167.8</v>
      </c>
      <c r="G63" s="6">
        <v>162.19999999999999</v>
      </c>
      <c r="H63" s="6">
        <v>194.6</v>
      </c>
      <c r="I63" s="6">
        <v>157.6</v>
      </c>
      <c r="J63" s="6">
        <v>166.9</v>
      </c>
      <c r="K63" s="6">
        <v>163.9</v>
      </c>
      <c r="L63" s="6">
        <v>118.8</v>
      </c>
      <c r="M63" s="6">
        <v>177.4</v>
      </c>
      <c r="N63" s="6">
        <v>165.3</v>
      </c>
      <c r="O63" s="6">
        <v>179.3</v>
      </c>
      <c r="P63" s="6">
        <v>168.4</v>
      </c>
      <c r="Q63" s="6">
        <v>193.7</v>
      </c>
      <c r="R63" s="6">
        <v>172.1</v>
      </c>
      <c r="S63" s="6">
        <v>164.6</v>
      </c>
      <c r="T63" s="6">
        <v>171.1</v>
      </c>
      <c r="U63" s="6">
        <v>165.3</v>
      </c>
      <c r="V63" s="6">
        <v>167.2</v>
      </c>
      <c r="W63" s="6">
        <v>162.80000000000001</v>
      </c>
      <c r="X63" s="6">
        <v>173</v>
      </c>
      <c r="Y63" s="6">
        <v>157.9</v>
      </c>
      <c r="Z63" s="6">
        <v>163.30000000000001</v>
      </c>
      <c r="AA63" s="6">
        <v>166</v>
      </c>
      <c r="AB63" s="6">
        <v>167.2</v>
      </c>
      <c r="AC63" s="6">
        <v>164.6</v>
      </c>
      <c r="AD63" s="9">
        <v>167.7</v>
      </c>
    </row>
    <row r="64" spans="1:30" x14ac:dyDescent="0.3">
      <c r="A64" s="3" t="s">
        <v>34</v>
      </c>
      <c r="B64" s="4">
        <v>2022</v>
      </c>
      <c r="C64" s="4" t="s">
        <v>37</v>
      </c>
      <c r="D64" s="4">
        <v>152.9</v>
      </c>
      <c r="E64" s="4">
        <v>211.8</v>
      </c>
      <c r="F64" s="4">
        <v>164.5</v>
      </c>
      <c r="G64" s="4">
        <v>163.9</v>
      </c>
      <c r="H64" s="4">
        <v>199.5</v>
      </c>
      <c r="I64" s="4">
        <v>172.6</v>
      </c>
      <c r="J64" s="4">
        <v>166.2</v>
      </c>
      <c r="K64" s="4">
        <v>164.7</v>
      </c>
      <c r="L64" s="4">
        <v>119</v>
      </c>
      <c r="M64" s="4">
        <v>181.3</v>
      </c>
      <c r="N64" s="4">
        <v>166.2</v>
      </c>
      <c r="O64" s="4">
        <v>180.9</v>
      </c>
      <c r="P64" s="4">
        <v>170.8</v>
      </c>
      <c r="Q64" s="4">
        <v>193.9</v>
      </c>
      <c r="R64" s="4">
        <v>173.9</v>
      </c>
      <c r="S64" s="4">
        <v>166.5</v>
      </c>
      <c r="T64" s="4">
        <v>172.8</v>
      </c>
      <c r="U64" s="4">
        <v>167</v>
      </c>
      <c r="V64" s="4">
        <v>172.2</v>
      </c>
      <c r="W64" s="4">
        <v>164</v>
      </c>
      <c r="X64" s="4">
        <v>174</v>
      </c>
      <c r="Y64" s="4">
        <v>162.6</v>
      </c>
      <c r="Z64" s="4">
        <v>164.4</v>
      </c>
      <c r="AA64" s="4">
        <v>166.9</v>
      </c>
      <c r="AB64" s="4">
        <v>168.8</v>
      </c>
      <c r="AC64" s="4">
        <v>166.8</v>
      </c>
      <c r="AD64" s="8">
        <v>170.1</v>
      </c>
    </row>
    <row r="65" spans="1:30" x14ac:dyDescent="0.3">
      <c r="A65" s="5" t="s">
        <v>34</v>
      </c>
      <c r="B65" s="6">
        <v>2022</v>
      </c>
      <c r="C65" s="6" t="s">
        <v>38</v>
      </c>
      <c r="D65" s="6">
        <v>154.1</v>
      </c>
      <c r="E65" s="6">
        <v>217</v>
      </c>
      <c r="F65" s="6">
        <v>162.4</v>
      </c>
      <c r="G65" s="6">
        <v>164.9</v>
      </c>
      <c r="H65" s="6">
        <v>202.4</v>
      </c>
      <c r="I65" s="6">
        <v>171</v>
      </c>
      <c r="J65" s="6">
        <v>174.9</v>
      </c>
      <c r="K65" s="6">
        <v>164.7</v>
      </c>
      <c r="L65" s="6">
        <v>119.7</v>
      </c>
      <c r="M65" s="6">
        <v>184.9</v>
      </c>
      <c r="N65" s="6">
        <v>167.1</v>
      </c>
      <c r="O65" s="6">
        <v>182.5</v>
      </c>
      <c r="P65" s="6">
        <v>173.3</v>
      </c>
      <c r="Q65" s="6">
        <v>194.1</v>
      </c>
      <c r="R65" s="6">
        <v>175.6</v>
      </c>
      <c r="S65" s="6">
        <v>168.4</v>
      </c>
      <c r="T65" s="6">
        <v>174.6</v>
      </c>
      <c r="U65" s="6">
        <v>167.5</v>
      </c>
      <c r="V65" s="6">
        <v>174.6</v>
      </c>
      <c r="W65" s="6">
        <v>165.2</v>
      </c>
      <c r="X65" s="6">
        <v>174.8</v>
      </c>
      <c r="Y65" s="6">
        <v>163</v>
      </c>
      <c r="Z65" s="6">
        <v>165.1</v>
      </c>
      <c r="AA65" s="6">
        <v>167.9</v>
      </c>
      <c r="AB65" s="6">
        <v>168.4</v>
      </c>
      <c r="AC65" s="6">
        <v>167.5</v>
      </c>
      <c r="AD65" s="9">
        <v>171.7</v>
      </c>
    </row>
    <row r="66" spans="1:30" x14ac:dyDescent="0.3">
      <c r="A66" s="3" t="s">
        <v>34</v>
      </c>
      <c r="B66" s="4">
        <v>2022</v>
      </c>
      <c r="C66" s="4" t="s">
        <v>39</v>
      </c>
      <c r="D66" s="4">
        <v>155</v>
      </c>
      <c r="E66" s="4">
        <v>219.4</v>
      </c>
      <c r="F66" s="4">
        <v>170.8</v>
      </c>
      <c r="G66" s="4">
        <v>165.8</v>
      </c>
      <c r="H66" s="4">
        <v>200.9</v>
      </c>
      <c r="I66" s="4">
        <v>169.7</v>
      </c>
      <c r="J66" s="4">
        <v>182.3</v>
      </c>
      <c r="K66" s="4">
        <v>164.3</v>
      </c>
      <c r="L66" s="4">
        <v>119.9</v>
      </c>
      <c r="M66" s="4">
        <v>187.1</v>
      </c>
      <c r="N66" s="4">
        <v>167.9</v>
      </c>
      <c r="O66" s="4">
        <v>183.9</v>
      </c>
      <c r="P66" s="4">
        <v>174.9</v>
      </c>
      <c r="Q66" s="4">
        <v>194.3</v>
      </c>
      <c r="R66" s="4">
        <v>177.1</v>
      </c>
      <c r="S66" s="4">
        <v>169.9</v>
      </c>
      <c r="T66" s="4">
        <v>176</v>
      </c>
      <c r="U66" s="4">
        <v>166.8</v>
      </c>
      <c r="V66" s="4">
        <v>176</v>
      </c>
      <c r="W66" s="4">
        <v>166.4</v>
      </c>
      <c r="X66" s="4">
        <v>175.4</v>
      </c>
      <c r="Y66" s="4">
        <v>161.1</v>
      </c>
      <c r="Z66" s="4">
        <v>165.8</v>
      </c>
      <c r="AA66" s="4">
        <v>169</v>
      </c>
      <c r="AB66" s="4">
        <v>169.4</v>
      </c>
      <c r="AC66" s="4">
        <v>167.5</v>
      </c>
      <c r="AD66" s="8">
        <v>172.6</v>
      </c>
    </row>
    <row r="67" spans="1:30" x14ac:dyDescent="0.3">
      <c r="A67" s="5" t="s">
        <v>34</v>
      </c>
      <c r="B67" s="6">
        <v>2022</v>
      </c>
      <c r="C67" s="6" t="s">
        <v>40</v>
      </c>
      <c r="D67" s="6">
        <v>156.5</v>
      </c>
      <c r="E67" s="6">
        <v>213</v>
      </c>
      <c r="F67" s="6">
        <v>175.2</v>
      </c>
      <c r="G67" s="6">
        <v>166.6</v>
      </c>
      <c r="H67" s="6">
        <v>195.8</v>
      </c>
      <c r="I67" s="6">
        <v>174.2</v>
      </c>
      <c r="J67" s="6">
        <v>182.1</v>
      </c>
      <c r="K67" s="6">
        <v>164.3</v>
      </c>
      <c r="L67" s="6">
        <v>120</v>
      </c>
      <c r="M67" s="6">
        <v>190</v>
      </c>
      <c r="N67" s="6">
        <v>168.4</v>
      </c>
      <c r="O67" s="6">
        <v>185.2</v>
      </c>
      <c r="P67" s="6">
        <v>175</v>
      </c>
      <c r="Q67" s="6">
        <v>194.6</v>
      </c>
      <c r="R67" s="6">
        <v>178.3</v>
      </c>
      <c r="S67" s="6">
        <v>171.3</v>
      </c>
      <c r="T67" s="6">
        <v>177.3</v>
      </c>
      <c r="U67" s="6">
        <v>167.8</v>
      </c>
      <c r="V67" s="6">
        <v>179.6</v>
      </c>
      <c r="W67" s="6">
        <v>167.4</v>
      </c>
      <c r="X67" s="6">
        <v>176.1</v>
      </c>
      <c r="Y67" s="6">
        <v>161.6</v>
      </c>
      <c r="Z67" s="6">
        <v>166.3</v>
      </c>
      <c r="AA67" s="6">
        <v>171.4</v>
      </c>
      <c r="AB67" s="6">
        <v>169.7</v>
      </c>
      <c r="AC67" s="6">
        <v>168.4</v>
      </c>
      <c r="AD67" s="9">
        <v>173.4</v>
      </c>
    </row>
    <row r="68" spans="1:30" x14ac:dyDescent="0.3">
      <c r="A68" s="3" t="s">
        <v>34</v>
      </c>
      <c r="B68" s="4">
        <v>2022</v>
      </c>
      <c r="C68" s="4" t="s">
        <v>41</v>
      </c>
      <c r="D68" s="4">
        <v>160.30000000000001</v>
      </c>
      <c r="E68" s="4">
        <v>206.5</v>
      </c>
      <c r="F68" s="4">
        <v>169.2</v>
      </c>
      <c r="G68" s="4">
        <v>168.1</v>
      </c>
      <c r="H68" s="4">
        <v>192.4</v>
      </c>
      <c r="I68" s="4">
        <v>172.9</v>
      </c>
      <c r="J68" s="4">
        <v>186.7</v>
      </c>
      <c r="K68" s="4">
        <v>167.2</v>
      </c>
      <c r="L68" s="4">
        <v>120.9</v>
      </c>
      <c r="M68" s="4">
        <v>193.6</v>
      </c>
      <c r="N68" s="4">
        <v>168.8</v>
      </c>
      <c r="O68" s="4">
        <v>186.3</v>
      </c>
      <c r="P68" s="4">
        <v>176.3</v>
      </c>
      <c r="Q68" s="4">
        <v>195</v>
      </c>
      <c r="R68" s="4">
        <v>179.5</v>
      </c>
      <c r="S68" s="4">
        <v>172.7</v>
      </c>
      <c r="T68" s="4">
        <v>178.5</v>
      </c>
      <c r="U68" s="4">
        <v>169</v>
      </c>
      <c r="V68" s="4">
        <v>178.8</v>
      </c>
      <c r="W68" s="4">
        <v>168.5</v>
      </c>
      <c r="X68" s="4">
        <v>176.8</v>
      </c>
      <c r="Y68" s="4">
        <v>161.9</v>
      </c>
      <c r="Z68" s="4">
        <v>166.9</v>
      </c>
      <c r="AA68" s="4">
        <v>172.3</v>
      </c>
      <c r="AB68" s="4">
        <v>171.2</v>
      </c>
      <c r="AC68" s="4">
        <v>169.1</v>
      </c>
      <c r="AD68" s="8">
        <v>174.3</v>
      </c>
    </row>
    <row r="69" spans="1:30" x14ac:dyDescent="0.3">
      <c r="A69" s="5" t="s">
        <v>34</v>
      </c>
      <c r="B69" s="6">
        <v>2022</v>
      </c>
      <c r="C69" s="6" t="s">
        <v>42</v>
      </c>
      <c r="D69" s="6">
        <v>163.5</v>
      </c>
      <c r="E69" s="6">
        <v>209.2</v>
      </c>
      <c r="F69" s="6">
        <v>169.7</v>
      </c>
      <c r="G69" s="6">
        <v>169.7</v>
      </c>
      <c r="H69" s="6">
        <v>188.7</v>
      </c>
      <c r="I69" s="6">
        <v>165.7</v>
      </c>
      <c r="J69" s="6">
        <v>191.8</v>
      </c>
      <c r="K69" s="6">
        <v>169.1</v>
      </c>
      <c r="L69" s="6">
        <v>121.6</v>
      </c>
      <c r="M69" s="6">
        <v>197.3</v>
      </c>
      <c r="N69" s="6">
        <v>169.4</v>
      </c>
      <c r="O69" s="6">
        <v>187.4</v>
      </c>
      <c r="P69" s="6">
        <v>177.8</v>
      </c>
      <c r="Q69" s="6">
        <v>195.9</v>
      </c>
      <c r="R69" s="6">
        <v>180.9</v>
      </c>
      <c r="S69" s="6">
        <v>174.3</v>
      </c>
      <c r="T69" s="6">
        <v>179.9</v>
      </c>
      <c r="U69" s="6">
        <v>169.5</v>
      </c>
      <c r="V69" s="6">
        <v>179.5</v>
      </c>
      <c r="W69" s="6">
        <v>169.5</v>
      </c>
      <c r="X69" s="6">
        <v>177.8</v>
      </c>
      <c r="Y69" s="6">
        <v>162.30000000000001</v>
      </c>
      <c r="Z69" s="6">
        <v>167.6</v>
      </c>
      <c r="AA69" s="6">
        <v>173.1</v>
      </c>
      <c r="AB69" s="6">
        <v>170.9</v>
      </c>
      <c r="AC69" s="6">
        <v>169.7</v>
      </c>
      <c r="AD69" s="9">
        <v>175.3</v>
      </c>
    </row>
    <row r="70" spans="1:30" x14ac:dyDescent="0.3">
      <c r="A70" s="3" t="s">
        <v>34</v>
      </c>
      <c r="B70" s="4">
        <v>2022</v>
      </c>
      <c r="C70" s="4" t="s">
        <v>43</v>
      </c>
      <c r="D70" s="4">
        <v>165.2</v>
      </c>
      <c r="E70" s="4">
        <v>210.9</v>
      </c>
      <c r="F70" s="4">
        <v>170.9</v>
      </c>
      <c r="G70" s="4">
        <v>170.9</v>
      </c>
      <c r="H70" s="4">
        <v>186.5</v>
      </c>
      <c r="I70" s="4">
        <v>163.80000000000001</v>
      </c>
      <c r="J70" s="4">
        <v>199.7</v>
      </c>
      <c r="K70" s="4">
        <v>169.8</v>
      </c>
      <c r="L70" s="4">
        <v>121.9</v>
      </c>
      <c r="M70" s="4">
        <v>199.9</v>
      </c>
      <c r="N70" s="4">
        <v>169.9</v>
      </c>
      <c r="O70" s="4">
        <v>188.3</v>
      </c>
      <c r="P70" s="4">
        <v>179.6</v>
      </c>
      <c r="Q70" s="4">
        <v>196.3</v>
      </c>
      <c r="R70" s="4">
        <v>181.9</v>
      </c>
      <c r="S70" s="4">
        <v>175.3</v>
      </c>
      <c r="T70" s="4">
        <v>181</v>
      </c>
      <c r="U70" s="4">
        <v>171.2</v>
      </c>
      <c r="V70" s="4">
        <v>180.5</v>
      </c>
      <c r="W70" s="4">
        <v>170.4</v>
      </c>
      <c r="X70" s="4">
        <v>178.7</v>
      </c>
      <c r="Y70" s="4">
        <v>162.9</v>
      </c>
      <c r="Z70" s="4">
        <v>168.2</v>
      </c>
      <c r="AA70" s="4">
        <v>173.4</v>
      </c>
      <c r="AB70" s="4">
        <v>172.1</v>
      </c>
      <c r="AC70" s="4">
        <v>170.5</v>
      </c>
      <c r="AD70" s="8">
        <v>176.7</v>
      </c>
    </row>
    <row r="71" spans="1:30" x14ac:dyDescent="0.3">
      <c r="A71" s="5" t="s">
        <v>34</v>
      </c>
      <c r="B71" s="6">
        <v>2022</v>
      </c>
      <c r="C71" s="6" t="s">
        <v>45</v>
      </c>
      <c r="D71" s="6">
        <v>167.4</v>
      </c>
      <c r="E71" s="6">
        <v>209.4</v>
      </c>
      <c r="F71" s="6">
        <v>181.4</v>
      </c>
      <c r="G71" s="6">
        <v>172.3</v>
      </c>
      <c r="H71" s="6">
        <v>188.9</v>
      </c>
      <c r="I71" s="6">
        <v>160.69999999999999</v>
      </c>
      <c r="J71" s="6">
        <v>183.1</v>
      </c>
      <c r="K71" s="6">
        <v>170.5</v>
      </c>
      <c r="L71" s="6">
        <v>122.1</v>
      </c>
      <c r="M71" s="6">
        <v>202.8</v>
      </c>
      <c r="N71" s="6">
        <v>170.4</v>
      </c>
      <c r="O71" s="6">
        <v>189.5</v>
      </c>
      <c r="P71" s="6">
        <v>178.3</v>
      </c>
      <c r="Q71" s="6">
        <v>196.9</v>
      </c>
      <c r="R71" s="6">
        <v>183.1</v>
      </c>
      <c r="S71" s="6">
        <v>176.2</v>
      </c>
      <c r="T71" s="6">
        <v>182.1</v>
      </c>
      <c r="U71" s="6">
        <v>171.8</v>
      </c>
      <c r="V71" s="6">
        <v>181.3</v>
      </c>
      <c r="W71" s="6">
        <v>171.4</v>
      </c>
      <c r="X71" s="6">
        <v>179.8</v>
      </c>
      <c r="Y71" s="6">
        <v>163</v>
      </c>
      <c r="Z71" s="6">
        <v>168.5</v>
      </c>
      <c r="AA71" s="6">
        <v>173.7</v>
      </c>
      <c r="AB71" s="6">
        <v>173.6</v>
      </c>
      <c r="AC71" s="6">
        <v>171.1</v>
      </c>
      <c r="AD71" s="9">
        <v>176.5</v>
      </c>
    </row>
    <row r="72" spans="1:30" x14ac:dyDescent="0.3">
      <c r="A72" s="3" t="s">
        <v>34</v>
      </c>
      <c r="B72" s="4">
        <v>2022</v>
      </c>
      <c r="C72" s="4" t="s">
        <v>46</v>
      </c>
      <c r="D72" s="4">
        <v>169.2</v>
      </c>
      <c r="E72" s="4">
        <v>209</v>
      </c>
      <c r="F72" s="4">
        <v>190.2</v>
      </c>
      <c r="G72" s="4">
        <v>173.6</v>
      </c>
      <c r="H72" s="4">
        <v>188.5</v>
      </c>
      <c r="I72" s="4">
        <v>158</v>
      </c>
      <c r="J72" s="4">
        <v>159.9</v>
      </c>
      <c r="K72" s="4">
        <v>170.8</v>
      </c>
      <c r="L72" s="4">
        <v>121.8</v>
      </c>
      <c r="M72" s="4">
        <v>205.2</v>
      </c>
      <c r="N72" s="4">
        <v>171</v>
      </c>
      <c r="O72" s="4">
        <v>190.3</v>
      </c>
      <c r="P72" s="4">
        <v>175.9</v>
      </c>
      <c r="Q72" s="4">
        <v>197.3</v>
      </c>
      <c r="R72" s="4">
        <v>184</v>
      </c>
      <c r="S72" s="4">
        <v>177</v>
      </c>
      <c r="T72" s="4">
        <v>183</v>
      </c>
      <c r="U72" s="4">
        <v>170.7</v>
      </c>
      <c r="V72" s="4">
        <v>182</v>
      </c>
      <c r="W72" s="4">
        <v>172.1</v>
      </c>
      <c r="X72" s="4">
        <v>181.1</v>
      </c>
      <c r="Y72" s="4">
        <v>163.4</v>
      </c>
      <c r="Z72" s="4">
        <v>168.9</v>
      </c>
      <c r="AA72" s="4">
        <v>174.1</v>
      </c>
      <c r="AB72" s="4">
        <v>175.8</v>
      </c>
      <c r="AC72" s="4">
        <v>172</v>
      </c>
      <c r="AD72" s="8">
        <v>175.7</v>
      </c>
    </row>
    <row r="75" spans="1:30" x14ac:dyDescent="0.3">
      <c r="A75" s="20" t="s">
        <v>1</v>
      </c>
      <c r="B75" s="20" t="s">
        <v>2</v>
      </c>
      <c r="C75" t="s">
        <v>69</v>
      </c>
      <c r="D75" t="s">
        <v>70</v>
      </c>
      <c r="F75" s="32" t="s">
        <v>1</v>
      </c>
      <c r="G75" s="33" t="s">
        <v>71</v>
      </c>
    </row>
    <row r="76" spans="1:30" x14ac:dyDescent="0.3">
      <c r="A76">
        <v>2017</v>
      </c>
      <c r="B76" t="s">
        <v>31</v>
      </c>
      <c r="C76">
        <v>130.30000000000001</v>
      </c>
      <c r="F76" s="32">
        <v>2017</v>
      </c>
      <c r="G76" s="33">
        <v>5.295471987720627E-2</v>
      </c>
    </row>
    <row r="77" spans="1:30" x14ac:dyDescent="0.3">
      <c r="B77" t="s">
        <v>46</v>
      </c>
      <c r="C77">
        <v>137.19999999999999</v>
      </c>
      <c r="D77" s="13">
        <f>(GETPIVOTDATA("General index",$A$75,"Year",2017,"Month","December")-GETPIVOTDATA("General index",$A$75,"Year",2017,"Month","January"))/GETPIVOTDATA("General index",$A$75,"Year",2017,"Month","January")</f>
        <v>5.295471987720627E-2</v>
      </c>
      <c r="F77" s="32">
        <v>2018</v>
      </c>
      <c r="G77" s="33">
        <v>2.3374726077428697E-2</v>
      </c>
    </row>
    <row r="78" spans="1:30" x14ac:dyDescent="0.3">
      <c r="A78">
        <v>2018</v>
      </c>
      <c r="B78" t="s">
        <v>31</v>
      </c>
      <c r="C78">
        <v>136.9</v>
      </c>
      <c r="D78" s="13"/>
      <c r="F78" s="32">
        <v>2019</v>
      </c>
      <c r="G78" s="33">
        <v>7.7363896848137617E-2</v>
      </c>
    </row>
    <row r="79" spans="1:30" x14ac:dyDescent="0.3">
      <c r="B79" t="s">
        <v>46</v>
      </c>
      <c r="C79">
        <v>140.1</v>
      </c>
      <c r="D79" s="13">
        <f>(GETPIVOTDATA("General index",$A$75,"Year",2018,"Month","December")-GETPIVOTDATA("General index",$A$75,"Year",2018,"Month","January"))/GETPIVOTDATA("General index",$A$75,"Year",2018,"Month","January")</f>
        <v>2.3374726077428697E-2</v>
      </c>
      <c r="F79" s="32">
        <v>2020</v>
      </c>
      <c r="G79" s="33">
        <v>5.7922769640479481E-2</v>
      </c>
    </row>
    <row r="80" spans="1:30" x14ac:dyDescent="0.3">
      <c r="A80">
        <v>2019</v>
      </c>
      <c r="B80" t="s">
        <v>31</v>
      </c>
      <c r="C80">
        <v>139.6</v>
      </c>
      <c r="D80" s="13"/>
      <c r="F80" s="32">
        <v>2021</v>
      </c>
      <c r="G80" s="33">
        <v>5.657978385251098E-2</v>
      </c>
    </row>
    <row r="81" spans="1:30" x14ac:dyDescent="0.3">
      <c r="B81" t="s">
        <v>46</v>
      </c>
      <c r="C81">
        <v>150.4</v>
      </c>
      <c r="D81" s="13">
        <f>(GETPIVOTDATA("General index",$A$75,"Year",2019,"Month","December")-GETPIVOTDATA("General index",$A$75,"Year",2019,"Month","January"))/GETPIVOTDATA("General index",$A$75,"Year",2019,"Month","January")</f>
        <v>7.7363896848137617E-2</v>
      </c>
      <c r="F81" s="34">
        <v>2022</v>
      </c>
      <c r="G81" s="35">
        <v>6.0350030175015092E-2</v>
      </c>
    </row>
    <row r="82" spans="1:30" x14ac:dyDescent="0.3">
      <c r="A82">
        <v>2020</v>
      </c>
      <c r="B82" t="s">
        <v>31</v>
      </c>
      <c r="C82">
        <v>150.19999999999999</v>
      </c>
      <c r="D82" s="13"/>
    </row>
    <row r="83" spans="1:30" x14ac:dyDescent="0.3">
      <c r="B83" t="s">
        <v>46</v>
      </c>
      <c r="C83">
        <v>158.9</v>
      </c>
      <c r="D83" s="13">
        <f>(GETPIVOTDATA("General index",$A$75,"Year",2020,"Month","December")-GETPIVOTDATA("General index",$A$75,"Year",2020,"Month","January"))/GETPIVOTDATA("General index",$A$75,"Year",2020,"Month","January")</f>
        <v>5.7922769640479481E-2</v>
      </c>
      <c r="H83" s="13"/>
    </row>
    <row r="84" spans="1:30" x14ac:dyDescent="0.3">
      <c r="A84">
        <v>2021</v>
      </c>
      <c r="B84" t="s">
        <v>31</v>
      </c>
      <c r="C84">
        <v>157.30000000000001</v>
      </c>
      <c r="D84" s="13"/>
      <c r="H84" s="13"/>
    </row>
    <row r="85" spans="1:30" x14ac:dyDescent="0.3">
      <c r="B85" t="s">
        <v>46</v>
      </c>
      <c r="C85">
        <v>166.2</v>
      </c>
      <c r="D85" s="13">
        <f>(GETPIVOTDATA("General index",$A$75,"Year",2021,"Month","December")-GETPIVOTDATA("General index",$A$75,"Year",2021,"Month","January"))/GETPIVOTDATA("General index",$A$75,"Year",2021,"Month","January")</f>
        <v>5.657978385251098E-2</v>
      </c>
      <c r="H85" s="13"/>
    </row>
    <row r="86" spans="1:30" x14ac:dyDescent="0.3">
      <c r="A86">
        <v>2022</v>
      </c>
      <c r="B86" t="s">
        <v>31</v>
      </c>
      <c r="C86">
        <v>165.7</v>
      </c>
      <c r="D86" s="13"/>
      <c r="H86" s="13"/>
    </row>
    <row r="87" spans="1:30" x14ac:dyDescent="0.3">
      <c r="B87" t="s">
        <v>46</v>
      </c>
      <c r="C87">
        <v>175.7</v>
      </c>
      <c r="D87" s="13">
        <f>(GETPIVOTDATA("General index",$A$75,"Year",2022,"Month","December")-GETPIVOTDATA("General index",$A$75,"Year",2022,"Month","January"))/GETPIVOTDATA("General index",$A$75,"Year",2022,"Month","January")</f>
        <v>6.0350030175015092E-2</v>
      </c>
      <c r="H87" s="13"/>
    </row>
    <row r="88" spans="1:30" x14ac:dyDescent="0.3">
      <c r="A88" t="s">
        <v>62</v>
      </c>
      <c r="C88">
        <v>1808.5000000000002</v>
      </c>
    </row>
    <row r="92" spans="1:30" x14ac:dyDescent="0.3">
      <c r="A92" s="1" t="s">
        <v>0</v>
      </c>
      <c r="B92" s="2" t="s">
        <v>1</v>
      </c>
      <c r="C92" s="2" t="s">
        <v>2</v>
      </c>
      <c r="D92" s="2" t="s">
        <v>3</v>
      </c>
      <c r="E92" s="2" t="s">
        <v>4</v>
      </c>
      <c r="F92" s="2" t="s">
        <v>5</v>
      </c>
      <c r="G92" s="2" t="s">
        <v>6</v>
      </c>
      <c r="H92" s="2" t="s">
        <v>7</v>
      </c>
      <c r="I92" s="2" t="s">
        <v>8</v>
      </c>
      <c r="J92" s="2" t="s">
        <v>9</v>
      </c>
      <c r="K92" s="2" t="s">
        <v>10</v>
      </c>
      <c r="L92" s="2" t="s">
        <v>11</v>
      </c>
      <c r="M92" s="2" t="s">
        <v>12</v>
      </c>
      <c r="N92" s="2" t="s">
        <v>13</v>
      </c>
      <c r="O92" s="2" t="s">
        <v>14</v>
      </c>
      <c r="P92" s="2" t="s">
        <v>15</v>
      </c>
      <c r="Q92" s="2" t="s">
        <v>16</v>
      </c>
      <c r="R92" s="2" t="s">
        <v>17</v>
      </c>
      <c r="S92" s="2" t="s">
        <v>18</v>
      </c>
      <c r="T92" s="2" t="s">
        <v>19</v>
      </c>
      <c r="U92" s="2" t="s">
        <v>20</v>
      </c>
      <c r="V92" s="2" t="s">
        <v>21</v>
      </c>
      <c r="W92" s="2" t="s">
        <v>22</v>
      </c>
      <c r="X92" s="2" t="s">
        <v>23</v>
      </c>
      <c r="Y92" s="2" t="s">
        <v>24</v>
      </c>
      <c r="Z92" s="2" t="s">
        <v>25</v>
      </c>
      <c r="AA92" s="2" t="s">
        <v>26</v>
      </c>
      <c r="AB92" s="2" t="s">
        <v>27</v>
      </c>
      <c r="AC92" s="2" t="s">
        <v>28</v>
      </c>
      <c r="AD92" s="7" t="s">
        <v>29</v>
      </c>
    </row>
    <row r="93" spans="1:30" x14ac:dyDescent="0.3">
      <c r="A93" s="3" t="s">
        <v>34</v>
      </c>
      <c r="B93" s="4">
        <v>2019</v>
      </c>
      <c r="C93" s="4" t="s">
        <v>31</v>
      </c>
      <c r="D93" s="4">
        <v>137.1</v>
      </c>
      <c r="E93" s="4">
        <v>151.4</v>
      </c>
      <c r="F93" s="4">
        <v>140.19999999999999</v>
      </c>
      <c r="G93" s="4">
        <v>142.1</v>
      </c>
      <c r="H93" s="4">
        <v>121.8</v>
      </c>
      <c r="I93" s="4">
        <v>135.4</v>
      </c>
      <c r="J93" s="4">
        <v>131.30000000000001</v>
      </c>
      <c r="K93" s="4">
        <v>120.3</v>
      </c>
      <c r="L93" s="4">
        <v>109.1</v>
      </c>
      <c r="M93" s="4">
        <v>139.4</v>
      </c>
      <c r="N93" s="4">
        <v>133.30000000000001</v>
      </c>
      <c r="O93" s="4">
        <v>154.6</v>
      </c>
      <c r="P93" s="4">
        <v>137.4</v>
      </c>
      <c r="Q93" s="4">
        <v>163.19999999999999</v>
      </c>
      <c r="R93" s="4">
        <v>147.6</v>
      </c>
      <c r="S93" s="4">
        <v>139</v>
      </c>
      <c r="T93" s="4">
        <v>146.4</v>
      </c>
      <c r="U93" s="4">
        <v>147.69999999999999</v>
      </c>
      <c r="V93" s="4">
        <v>139.5</v>
      </c>
      <c r="W93" s="4">
        <v>143.6</v>
      </c>
      <c r="X93" s="4">
        <v>145.1</v>
      </c>
      <c r="Y93" s="4">
        <v>123.3</v>
      </c>
      <c r="Z93" s="4">
        <v>136.69999999999999</v>
      </c>
      <c r="AA93" s="4">
        <v>150.19999999999999</v>
      </c>
      <c r="AB93" s="4">
        <v>132.80000000000001</v>
      </c>
      <c r="AC93" s="4">
        <v>136.9</v>
      </c>
      <c r="AD93" s="8">
        <v>139.6</v>
      </c>
    </row>
    <row r="94" spans="1:30" x14ac:dyDescent="0.3">
      <c r="A94" s="5" t="s">
        <v>34</v>
      </c>
      <c r="B94" s="6">
        <v>2019</v>
      </c>
      <c r="C94" s="6" t="s">
        <v>35</v>
      </c>
      <c r="D94" s="6">
        <v>137.6</v>
      </c>
      <c r="E94" s="6">
        <v>152</v>
      </c>
      <c r="F94" s="6">
        <v>141.5</v>
      </c>
      <c r="G94" s="6">
        <v>142.19999999999999</v>
      </c>
      <c r="H94" s="6">
        <v>122</v>
      </c>
      <c r="I94" s="6">
        <v>136.4</v>
      </c>
      <c r="J94" s="6">
        <v>129.69999999999999</v>
      </c>
      <c r="K94" s="6">
        <v>121</v>
      </c>
      <c r="L94" s="6">
        <v>109</v>
      </c>
      <c r="M94" s="6">
        <v>139.69999999999999</v>
      </c>
      <c r="N94" s="6">
        <v>133.6</v>
      </c>
      <c r="O94" s="6">
        <v>154.9</v>
      </c>
      <c r="P94" s="6">
        <v>137.5</v>
      </c>
      <c r="Q94" s="6">
        <v>163.4</v>
      </c>
      <c r="R94" s="6">
        <v>147.69999999999999</v>
      </c>
      <c r="S94" s="6">
        <v>139.69999999999999</v>
      </c>
      <c r="T94" s="6">
        <v>146.5</v>
      </c>
      <c r="U94" s="6">
        <v>148.5</v>
      </c>
      <c r="V94" s="6">
        <v>138.4</v>
      </c>
      <c r="W94" s="6">
        <v>143.69999999999999</v>
      </c>
      <c r="X94" s="6">
        <v>145.6</v>
      </c>
      <c r="Y94" s="6">
        <v>123.9</v>
      </c>
      <c r="Z94" s="6">
        <v>137.1</v>
      </c>
      <c r="AA94" s="6">
        <v>150.30000000000001</v>
      </c>
      <c r="AB94" s="6">
        <v>134.1</v>
      </c>
      <c r="AC94" s="6">
        <v>137.4</v>
      </c>
      <c r="AD94" s="9">
        <v>139.9</v>
      </c>
    </row>
    <row r="95" spans="1:30" x14ac:dyDescent="0.3">
      <c r="A95" s="3" t="s">
        <v>34</v>
      </c>
      <c r="B95" s="4">
        <v>2019</v>
      </c>
      <c r="C95" s="4" t="s">
        <v>36</v>
      </c>
      <c r="D95" s="4">
        <v>137.80000000000001</v>
      </c>
      <c r="E95" s="4">
        <v>153</v>
      </c>
      <c r="F95" s="4">
        <v>140.30000000000001</v>
      </c>
      <c r="G95" s="4">
        <v>142.30000000000001</v>
      </c>
      <c r="H95" s="4">
        <v>122</v>
      </c>
      <c r="I95" s="4">
        <v>137.6</v>
      </c>
      <c r="J95" s="4">
        <v>132.6</v>
      </c>
      <c r="K95" s="4">
        <v>121.8</v>
      </c>
      <c r="L95" s="4">
        <v>109</v>
      </c>
      <c r="M95" s="4">
        <v>139.5</v>
      </c>
      <c r="N95" s="4">
        <v>133.69999999999999</v>
      </c>
      <c r="O95" s="4">
        <v>155.19999999999999</v>
      </c>
      <c r="P95" s="4">
        <v>138.1</v>
      </c>
      <c r="Q95" s="4">
        <v>163.5</v>
      </c>
      <c r="R95" s="4">
        <v>147.9</v>
      </c>
      <c r="S95" s="4">
        <v>139.9</v>
      </c>
      <c r="T95" s="4">
        <v>146.69999999999999</v>
      </c>
      <c r="U95" s="4">
        <v>149</v>
      </c>
      <c r="V95" s="4">
        <v>139.69999999999999</v>
      </c>
      <c r="W95" s="4">
        <v>143.80000000000001</v>
      </c>
      <c r="X95" s="4">
        <v>146.19999999999999</v>
      </c>
      <c r="Y95" s="4">
        <v>124.6</v>
      </c>
      <c r="Z95" s="4">
        <v>137.69999999999999</v>
      </c>
      <c r="AA95" s="4">
        <v>150.30000000000001</v>
      </c>
      <c r="AB95" s="4">
        <v>133.4</v>
      </c>
      <c r="AC95" s="4">
        <v>137.69999999999999</v>
      </c>
      <c r="AD95" s="8">
        <v>140.4</v>
      </c>
    </row>
    <row r="96" spans="1:30" x14ac:dyDescent="0.3">
      <c r="A96" s="5" t="s">
        <v>34</v>
      </c>
      <c r="B96" s="6">
        <v>2019</v>
      </c>
      <c r="C96" s="6" t="s">
        <v>38</v>
      </c>
      <c r="D96" s="6">
        <v>138.30000000000001</v>
      </c>
      <c r="E96" s="6">
        <v>158.5</v>
      </c>
      <c r="F96" s="6">
        <v>136</v>
      </c>
      <c r="G96" s="6">
        <v>142.5</v>
      </c>
      <c r="H96" s="6">
        <v>122</v>
      </c>
      <c r="I96" s="6">
        <v>146.5</v>
      </c>
      <c r="J96" s="6">
        <v>143</v>
      </c>
      <c r="K96" s="6">
        <v>124.9</v>
      </c>
      <c r="L96" s="6">
        <v>109.9</v>
      </c>
      <c r="M96" s="6">
        <v>139.9</v>
      </c>
      <c r="N96" s="6">
        <v>134</v>
      </c>
      <c r="O96" s="6">
        <v>155.5</v>
      </c>
      <c r="P96" s="6">
        <v>140.9</v>
      </c>
      <c r="Q96" s="6">
        <v>164.1</v>
      </c>
      <c r="R96" s="6">
        <v>148.4</v>
      </c>
      <c r="S96" s="6">
        <v>140.4</v>
      </c>
      <c r="T96" s="6">
        <v>147.30000000000001</v>
      </c>
      <c r="U96" s="6">
        <v>150.1</v>
      </c>
      <c r="V96" s="6">
        <v>140.30000000000001</v>
      </c>
      <c r="W96" s="6">
        <v>143.69999999999999</v>
      </c>
      <c r="X96" s="6">
        <v>146.9</v>
      </c>
      <c r="Y96" s="6">
        <v>124.9</v>
      </c>
      <c r="Z96" s="6">
        <v>139.19999999999999</v>
      </c>
      <c r="AA96" s="6">
        <v>151.6</v>
      </c>
      <c r="AB96" s="6">
        <v>133.4</v>
      </c>
      <c r="AC96" s="6">
        <v>138.19999999999999</v>
      </c>
      <c r="AD96" s="9">
        <v>142</v>
      </c>
    </row>
    <row r="97" spans="1:30" x14ac:dyDescent="0.3">
      <c r="A97" s="3" t="s">
        <v>34</v>
      </c>
      <c r="B97" s="4">
        <v>2019</v>
      </c>
      <c r="C97" s="4" t="s">
        <v>39</v>
      </c>
      <c r="D97" s="4">
        <v>138.69999999999999</v>
      </c>
      <c r="E97" s="4">
        <v>162.1</v>
      </c>
      <c r="F97" s="4">
        <v>137.80000000000001</v>
      </c>
      <c r="G97" s="4">
        <v>143.30000000000001</v>
      </c>
      <c r="H97" s="4">
        <v>122.2</v>
      </c>
      <c r="I97" s="4">
        <v>146.80000000000001</v>
      </c>
      <c r="J97" s="4">
        <v>150.5</v>
      </c>
      <c r="K97" s="4">
        <v>128.30000000000001</v>
      </c>
      <c r="L97" s="4">
        <v>111</v>
      </c>
      <c r="M97" s="4">
        <v>140.6</v>
      </c>
      <c r="N97" s="4">
        <v>134.19999999999999</v>
      </c>
      <c r="O97" s="4">
        <v>155.9</v>
      </c>
      <c r="P97" s="4">
        <v>142.69999999999999</v>
      </c>
      <c r="Q97" s="4">
        <v>164.9</v>
      </c>
      <c r="R97" s="4">
        <v>148.6</v>
      </c>
      <c r="S97" s="4">
        <v>140.4</v>
      </c>
      <c r="T97" s="4">
        <v>147.4</v>
      </c>
      <c r="U97" s="4">
        <v>149.4</v>
      </c>
      <c r="V97" s="4">
        <v>141.19999999999999</v>
      </c>
      <c r="W97" s="4">
        <v>143.80000000000001</v>
      </c>
      <c r="X97" s="4">
        <v>147.4</v>
      </c>
      <c r="Y97" s="4">
        <v>124.6</v>
      </c>
      <c r="Z97" s="4">
        <v>139.6</v>
      </c>
      <c r="AA97" s="4">
        <v>152.5</v>
      </c>
      <c r="AB97" s="4">
        <v>134.30000000000001</v>
      </c>
      <c r="AC97" s="4">
        <v>138.6</v>
      </c>
      <c r="AD97" s="8">
        <v>142.9</v>
      </c>
    </row>
    <row r="98" spans="1:30" x14ac:dyDescent="0.3">
      <c r="A98" s="5" t="s">
        <v>34</v>
      </c>
      <c r="B98" s="6">
        <v>2019</v>
      </c>
      <c r="C98" s="6" t="s">
        <v>40</v>
      </c>
      <c r="D98" s="6">
        <v>139.30000000000001</v>
      </c>
      <c r="E98" s="6">
        <v>162.69999999999999</v>
      </c>
      <c r="F98" s="6">
        <v>140</v>
      </c>
      <c r="G98" s="6">
        <v>144</v>
      </c>
      <c r="H98" s="6">
        <v>122.5</v>
      </c>
      <c r="I98" s="6">
        <v>150.30000000000001</v>
      </c>
      <c r="J98" s="6">
        <v>160.30000000000001</v>
      </c>
      <c r="K98" s="6">
        <v>130</v>
      </c>
      <c r="L98" s="6">
        <v>111.1</v>
      </c>
      <c r="M98" s="6">
        <v>141.69999999999999</v>
      </c>
      <c r="N98" s="6">
        <v>134.69999999999999</v>
      </c>
      <c r="O98" s="6">
        <v>156.19999999999999</v>
      </c>
      <c r="P98" s="6">
        <v>144.69999999999999</v>
      </c>
      <c r="Q98" s="6">
        <v>165.2</v>
      </c>
      <c r="R98" s="6">
        <v>148.9</v>
      </c>
      <c r="S98" s="6">
        <v>140.5</v>
      </c>
      <c r="T98" s="6">
        <v>147.6</v>
      </c>
      <c r="U98" s="6">
        <v>150.6</v>
      </c>
      <c r="V98" s="6">
        <v>139.30000000000001</v>
      </c>
      <c r="W98" s="6">
        <v>144.19999999999999</v>
      </c>
      <c r="X98" s="6">
        <v>147.9</v>
      </c>
      <c r="Y98" s="6">
        <v>125.6</v>
      </c>
      <c r="Z98" s="6">
        <v>140.5</v>
      </c>
      <c r="AA98" s="6">
        <v>154</v>
      </c>
      <c r="AB98" s="6">
        <v>135.69999999999999</v>
      </c>
      <c r="AC98" s="6">
        <v>139.5</v>
      </c>
      <c r="AD98" s="9">
        <v>144.19999999999999</v>
      </c>
    </row>
    <row r="99" spans="1:30" x14ac:dyDescent="0.3">
      <c r="A99" s="3" t="s">
        <v>34</v>
      </c>
      <c r="B99" s="4">
        <v>2019</v>
      </c>
      <c r="C99" s="4" t="s">
        <v>41</v>
      </c>
      <c r="D99" s="4">
        <v>140.1</v>
      </c>
      <c r="E99" s="4">
        <v>160.6</v>
      </c>
      <c r="F99" s="4">
        <v>138.5</v>
      </c>
      <c r="G99" s="4">
        <v>144.69999999999999</v>
      </c>
      <c r="H99" s="4">
        <v>122.9</v>
      </c>
      <c r="I99" s="4">
        <v>149.4</v>
      </c>
      <c r="J99" s="4">
        <v>167.4</v>
      </c>
      <c r="K99" s="4">
        <v>130.9</v>
      </c>
      <c r="L99" s="4">
        <v>112</v>
      </c>
      <c r="M99" s="4">
        <v>142.6</v>
      </c>
      <c r="N99" s="4">
        <v>134.9</v>
      </c>
      <c r="O99" s="4">
        <v>156.6</v>
      </c>
      <c r="P99" s="4">
        <v>145.9</v>
      </c>
      <c r="Q99" s="4">
        <v>165.8</v>
      </c>
      <c r="R99" s="4">
        <v>149.1</v>
      </c>
      <c r="S99" s="4">
        <v>140.6</v>
      </c>
      <c r="T99" s="4">
        <v>147.9</v>
      </c>
      <c r="U99" s="4">
        <v>151.6</v>
      </c>
      <c r="V99" s="4">
        <v>138.5</v>
      </c>
      <c r="W99" s="4">
        <v>144.5</v>
      </c>
      <c r="X99" s="4">
        <v>148.5</v>
      </c>
      <c r="Y99" s="4">
        <v>125.8</v>
      </c>
      <c r="Z99" s="4">
        <v>140.9</v>
      </c>
      <c r="AA99" s="4">
        <v>154.9</v>
      </c>
      <c r="AB99" s="4">
        <v>138.4</v>
      </c>
      <c r="AC99" s="4">
        <v>140.19999999999999</v>
      </c>
      <c r="AD99" s="8">
        <v>145</v>
      </c>
    </row>
    <row r="100" spans="1:30" x14ac:dyDescent="0.3">
      <c r="A100" s="5" t="s">
        <v>34</v>
      </c>
      <c r="B100" s="6">
        <v>2019</v>
      </c>
      <c r="C100" s="6" t="s">
        <v>42</v>
      </c>
      <c r="D100" s="6">
        <v>140.9</v>
      </c>
      <c r="E100" s="6">
        <v>160.80000000000001</v>
      </c>
      <c r="F100" s="6">
        <v>139.6</v>
      </c>
      <c r="G100" s="6">
        <v>145.4</v>
      </c>
      <c r="H100" s="6">
        <v>123.5</v>
      </c>
      <c r="I100" s="6">
        <v>146.6</v>
      </c>
      <c r="J100" s="6">
        <v>173.2</v>
      </c>
      <c r="K100" s="6">
        <v>131.6</v>
      </c>
      <c r="L100" s="6">
        <v>113.2</v>
      </c>
      <c r="M100" s="6">
        <v>144.1</v>
      </c>
      <c r="N100" s="6">
        <v>135</v>
      </c>
      <c r="O100" s="6">
        <v>156.80000000000001</v>
      </c>
      <c r="P100" s="6">
        <v>147</v>
      </c>
      <c r="Q100" s="6">
        <v>166.5</v>
      </c>
      <c r="R100" s="6">
        <v>149.19999999999999</v>
      </c>
      <c r="S100" s="6">
        <v>140.6</v>
      </c>
      <c r="T100" s="6">
        <v>147.9</v>
      </c>
      <c r="U100" s="6">
        <v>152.19999999999999</v>
      </c>
      <c r="V100" s="6">
        <v>139.19999999999999</v>
      </c>
      <c r="W100" s="6">
        <v>144.6</v>
      </c>
      <c r="X100" s="6">
        <v>149</v>
      </c>
      <c r="Y100" s="6">
        <v>126.1</v>
      </c>
      <c r="Z100" s="6">
        <v>141.30000000000001</v>
      </c>
      <c r="AA100" s="6">
        <v>155.19999999999999</v>
      </c>
      <c r="AB100" s="6">
        <v>139.69999999999999</v>
      </c>
      <c r="AC100" s="6">
        <v>140.69999999999999</v>
      </c>
      <c r="AD100" s="9">
        <v>145.80000000000001</v>
      </c>
    </row>
    <row r="101" spans="1:30" x14ac:dyDescent="0.3">
      <c r="A101" s="3" t="s">
        <v>34</v>
      </c>
      <c r="B101" s="4">
        <v>2019</v>
      </c>
      <c r="C101" s="4" t="s">
        <v>43</v>
      </c>
      <c r="D101" s="4">
        <v>141.80000000000001</v>
      </c>
      <c r="E101" s="4">
        <v>161</v>
      </c>
      <c r="F101" s="4">
        <v>142.6</v>
      </c>
      <c r="G101" s="4">
        <v>146.19999999999999</v>
      </c>
      <c r="H101" s="4">
        <v>123.9</v>
      </c>
      <c r="I101" s="4">
        <v>148</v>
      </c>
      <c r="J101" s="4">
        <v>188.4</v>
      </c>
      <c r="K101" s="4">
        <v>132.5</v>
      </c>
      <c r="L101" s="4">
        <v>114</v>
      </c>
      <c r="M101" s="4">
        <v>145.4</v>
      </c>
      <c r="N101" s="4">
        <v>135.1</v>
      </c>
      <c r="O101" s="4">
        <v>157.1</v>
      </c>
      <c r="P101" s="4">
        <v>149.6</v>
      </c>
      <c r="Q101" s="4">
        <v>167.1</v>
      </c>
      <c r="R101" s="4">
        <v>149.4</v>
      </c>
      <c r="S101" s="4">
        <v>140.80000000000001</v>
      </c>
      <c r="T101" s="4">
        <v>148.19999999999999</v>
      </c>
      <c r="U101" s="4">
        <v>153</v>
      </c>
      <c r="V101" s="4">
        <v>140.6</v>
      </c>
      <c r="W101" s="4">
        <v>145</v>
      </c>
      <c r="X101" s="4">
        <v>149.4</v>
      </c>
      <c r="Y101" s="4">
        <v>126.3</v>
      </c>
      <c r="Z101" s="4">
        <v>141.69999999999999</v>
      </c>
      <c r="AA101" s="4">
        <v>155.4</v>
      </c>
      <c r="AB101" s="4">
        <v>140</v>
      </c>
      <c r="AC101" s="4">
        <v>141</v>
      </c>
      <c r="AD101" s="8">
        <v>147.19999999999999</v>
      </c>
    </row>
    <row r="102" spans="1:30" x14ac:dyDescent="0.3">
      <c r="A102" s="5" t="s">
        <v>34</v>
      </c>
      <c r="B102" s="6">
        <v>2019</v>
      </c>
      <c r="C102" s="6" t="s">
        <v>45</v>
      </c>
      <c r="D102" s="6">
        <v>142.5</v>
      </c>
      <c r="E102" s="6">
        <v>163.19999999999999</v>
      </c>
      <c r="F102" s="6">
        <v>145.6</v>
      </c>
      <c r="G102" s="6">
        <v>146.69999999999999</v>
      </c>
      <c r="H102" s="6">
        <v>124.3</v>
      </c>
      <c r="I102" s="6">
        <v>147.4</v>
      </c>
      <c r="J102" s="6">
        <v>199.6</v>
      </c>
      <c r="K102" s="6">
        <v>135.69999999999999</v>
      </c>
      <c r="L102" s="6">
        <v>114.2</v>
      </c>
      <c r="M102" s="6">
        <v>147</v>
      </c>
      <c r="N102" s="6">
        <v>135.30000000000001</v>
      </c>
      <c r="O102" s="6">
        <v>157.5</v>
      </c>
      <c r="P102" s="6">
        <v>151.9</v>
      </c>
      <c r="Q102" s="6">
        <v>167.9</v>
      </c>
      <c r="R102" s="6">
        <v>149.9</v>
      </c>
      <c r="S102" s="6">
        <v>141</v>
      </c>
      <c r="T102" s="6">
        <v>148.6</v>
      </c>
      <c r="U102" s="6">
        <v>153.5</v>
      </c>
      <c r="V102" s="6">
        <v>142.30000000000001</v>
      </c>
      <c r="W102" s="6">
        <v>145.30000000000001</v>
      </c>
      <c r="X102" s="6">
        <v>149.9</v>
      </c>
      <c r="Y102" s="6">
        <v>126.6</v>
      </c>
      <c r="Z102" s="6">
        <v>142.1</v>
      </c>
      <c r="AA102" s="6">
        <v>155.5</v>
      </c>
      <c r="AB102" s="6">
        <v>140.30000000000001</v>
      </c>
      <c r="AC102" s="6">
        <v>141.30000000000001</v>
      </c>
      <c r="AD102" s="9">
        <v>148.6</v>
      </c>
    </row>
    <row r="103" spans="1:30" x14ac:dyDescent="0.3">
      <c r="A103" s="3" t="s">
        <v>34</v>
      </c>
      <c r="B103" s="4">
        <v>2019</v>
      </c>
      <c r="C103" s="4" t="s">
        <v>46</v>
      </c>
      <c r="D103" s="4">
        <v>143.5</v>
      </c>
      <c r="E103" s="4">
        <v>165</v>
      </c>
      <c r="F103" s="4">
        <v>151.1</v>
      </c>
      <c r="G103" s="4">
        <v>148.30000000000001</v>
      </c>
      <c r="H103" s="4">
        <v>125.7</v>
      </c>
      <c r="I103" s="4">
        <v>145.69999999999999</v>
      </c>
      <c r="J103" s="4">
        <v>217</v>
      </c>
      <c r="K103" s="4">
        <v>138.30000000000001</v>
      </c>
      <c r="L103" s="4">
        <v>114</v>
      </c>
      <c r="M103" s="4">
        <v>148.69999999999999</v>
      </c>
      <c r="N103" s="4">
        <v>135.80000000000001</v>
      </c>
      <c r="O103" s="4">
        <v>158</v>
      </c>
      <c r="P103" s="4">
        <v>155</v>
      </c>
      <c r="Q103" s="4">
        <v>168.5</v>
      </c>
      <c r="R103" s="4">
        <v>150.30000000000001</v>
      </c>
      <c r="S103" s="4">
        <v>141.30000000000001</v>
      </c>
      <c r="T103" s="4">
        <v>149</v>
      </c>
      <c r="U103" s="4">
        <v>152.80000000000001</v>
      </c>
      <c r="V103" s="4">
        <v>143.69999999999999</v>
      </c>
      <c r="W103" s="4">
        <v>145.80000000000001</v>
      </c>
      <c r="X103" s="4">
        <v>150.4</v>
      </c>
      <c r="Y103" s="4">
        <v>129.80000000000001</v>
      </c>
      <c r="Z103" s="4">
        <v>142.30000000000001</v>
      </c>
      <c r="AA103" s="4">
        <v>155.69999999999999</v>
      </c>
      <c r="AB103" s="4">
        <v>140.4</v>
      </c>
      <c r="AC103" s="4">
        <v>142.5</v>
      </c>
      <c r="AD103" s="8">
        <v>150.4</v>
      </c>
    </row>
    <row r="104" spans="1:30" x14ac:dyDescent="0.3">
      <c r="A104" s="48" t="s">
        <v>70</v>
      </c>
      <c r="B104" s="48"/>
      <c r="C104" s="48"/>
      <c r="D104" s="13">
        <f>(D103-D93)/D93</f>
        <v>4.6681254558716308E-2</v>
      </c>
      <c r="E104" s="13">
        <f t="shared" ref="E104:AD104" si="0">(E103-E93)/E93</f>
        <v>8.9828269484808418E-2</v>
      </c>
      <c r="F104" s="13">
        <f t="shared" si="0"/>
        <v>7.7746077032810321E-2</v>
      </c>
      <c r="G104" s="13">
        <f t="shared" si="0"/>
        <v>4.3631245601689073E-2</v>
      </c>
      <c r="H104" s="13">
        <f t="shared" si="0"/>
        <v>3.2019704433497581E-2</v>
      </c>
      <c r="I104" s="13">
        <f t="shared" si="0"/>
        <v>7.6070901033973279E-2</v>
      </c>
      <c r="J104" s="13">
        <f t="shared" si="0"/>
        <v>0.65270373191165254</v>
      </c>
      <c r="K104" s="13">
        <f t="shared" si="0"/>
        <v>0.14962593516209488</v>
      </c>
      <c r="L104" s="13">
        <f t="shared" si="0"/>
        <v>4.491292392300647E-2</v>
      </c>
      <c r="M104" s="13">
        <f t="shared" si="0"/>
        <v>6.671449067431838E-2</v>
      </c>
      <c r="N104" s="13">
        <f t="shared" si="0"/>
        <v>1.8754688672168042E-2</v>
      </c>
      <c r="O104" s="13">
        <f t="shared" si="0"/>
        <v>2.1992238033635224E-2</v>
      </c>
      <c r="P104" s="13">
        <f t="shared" si="0"/>
        <v>0.1280931586608442</v>
      </c>
      <c r="Q104" s="13">
        <f t="shared" si="0"/>
        <v>3.2475490196078503E-2</v>
      </c>
      <c r="R104" s="13">
        <f t="shared" si="0"/>
        <v>1.8292682926829385E-2</v>
      </c>
      <c r="S104" s="13">
        <f t="shared" si="0"/>
        <v>1.6546762589928141E-2</v>
      </c>
      <c r="T104" s="13">
        <f t="shared" si="0"/>
        <v>1.7759562841530015E-2</v>
      </c>
      <c r="U104" s="13">
        <f t="shared" si="0"/>
        <v>3.4529451591063125E-2</v>
      </c>
      <c r="V104" s="13">
        <f t="shared" si="0"/>
        <v>3.0107526881720349E-2</v>
      </c>
      <c r="W104" s="13">
        <f t="shared" si="0"/>
        <v>1.5320334261838559E-2</v>
      </c>
      <c r="X104" s="13">
        <f t="shared" si="0"/>
        <v>3.6526533425224064E-2</v>
      </c>
      <c r="Y104" s="13">
        <f t="shared" si="0"/>
        <v>5.2716950527169619E-2</v>
      </c>
      <c r="Z104" s="13">
        <f t="shared" si="0"/>
        <v>4.0965618141916772E-2</v>
      </c>
      <c r="AA104" s="13">
        <f t="shared" si="0"/>
        <v>3.6617842876165117E-2</v>
      </c>
      <c r="AB104" s="13">
        <f t="shared" si="0"/>
        <v>5.7228915662650558E-2</v>
      </c>
      <c r="AC104" s="13">
        <f t="shared" si="0"/>
        <v>4.090577063550032E-2</v>
      </c>
      <c r="AD104" s="13">
        <f t="shared" si="0"/>
        <v>7.7363896848137617E-2</v>
      </c>
    </row>
    <row r="107" spans="1:30" x14ac:dyDescent="0.3">
      <c r="A107" s="11" t="s">
        <v>49</v>
      </c>
      <c r="B107" s="11" t="s">
        <v>74</v>
      </c>
      <c r="C107" s="11" t="s">
        <v>73</v>
      </c>
      <c r="E107" s="11" t="s">
        <v>73</v>
      </c>
      <c r="F107" s="11" t="s">
        <v>74</v>
      </c>
    </row>
    <row r="108" spans="1:30" x14ac:dyDescent="0.3">
      <c r="A108" s="12" t="s">
        <v>9</v>
      </c>
      <c r="B108" s="23">
        <v>0.65270373191165254</v>
      </c>
      <c r="C108" s="12" t="str">
        <f>VLOOKUP(A108,Sheet1!A:B,2,0)</f>
        <v>Food</v>
      </c>
      <c r="E108" s="12" t="str" cm="1">
        <f t="array" ref="E108:E119">_xlfn.UNIQUE(C108:C134)</f>
        <v>Food</v>
      </c>
      <c r="F108" s="23">
        <f>SUMIF(C108:C134,E108,B108:B134)</f>
        <v>1.4300199305110466</v>
      </c>
      <c r="H108" s="21" t="s">
        <v>73</v>
      </c>
      <c r="I108" s="21" t="s">
        <v>74</v>
      </c>
    </row>
    <row r="109" spans="1:30" x14ac:dyDescent="0.3">
      <c r="A109" s="12" t="s">
        <v>10</v>
      </c>
      <c r="B109" s="23">
        <v>0.14962593516209488</v>
      </c>
      <c r="C109" s="12" t="str">
        <f>VLOOKUP(A109,Sheet1!A:B,2,0)</f>
        <v>Food</v>
      </c>
      <c r="E109" s="12" t="str">
        <v>GI</v>
      </c>
      <c r="F109" s="23">
        <f t="shared" ref="F109:F119" si="1">SUMIF(C109:C135,E109,B109:B135)</f>
        <v>7.7363896848137617E-2</v>
      </c>
      <c r="H109" s="21" t="s">
        <v>51</v>
      </c>
      <c r="I109" s="29">
        <v>1.4300199305110466</v>
      </c>
    </row>
    <row r="110" spans="1:30" x14ac:dyDescent="0.3">
      <c r="A110" s="12" t="s">
        <v>15</v>
      </c>
      <c r="B110" s="23">
        <v>0.1280931586608442</v>
      </c>
      <c r="C110" s="12" t="str">
        <f>VLOOKUP(A110,Sheet1!A:B,2,0)</f>
        <v>Food</v>
      </c>
      <c r="E110" s="12" t="str">
        <v>Personal care and effects</v>
      </c>
      <c r="F110" s="23">
        <f t="shared" si="1"/>
        <v>5.7228915662650558E-2</v>
      </c>
      <c r="H110" s="21" t="s">
        <v>55</v>
      </c>
      <c r="I110" s="29">
        <v>7.7363896848137617E-2</v>
      </c>
    </row>
    <row r="111" spans="1:30" x14ac:dyDescent="0.3">
      <c r="A111" s="12" t="s">
        <v>4</v>
      </c>
      <c r="B111" s="23">
        <v>8.9828269484808418E-2</v>
      </c>
      <c r="C111" s="12" t="str">
        <f>VLOOKUP(A111,Sheet1!A:B,2,0)</f>
        <v>Food</v>
      </c>
      <c r="E111" s="12" t="str">
        <v>Transport</v>
      </c>
      <c r="F111" s="23">
        <f t="shared" si="1"/>
        <v>5.2716950527169619E-2</v>
      </c>
      <c r="H111" s="21" t="s">
        <v>27</v>
      </c>
      <c r="I111" s="29">
        <v>5.7228915662650558E-2</v>
      </c>
    </row>
    <row r="112" spans="1:30" x14ac:dyDescent="0.3">
      <c r="A112" s="12" t="s">
        <v>5</v>
      </c>
      <c r="B112" s="23">
        <v>7.7746077032810321E-2</v>
      </c>
      <c r="C112" s="12" t="str">
        <f>VLOOKUP(A112,Sheet1!A:B,2,0)</f>
        <v>Food</v>
      </c>
      <c r="E112" s="12" t="str">
        <v>Recreation and amusement</v>
      </c>
      <c r="F112" s="23">
        <f t="shared" si="1"/>
        <v>4.0965618141916772E-2</v>
      </c>
      <c r="H112" s="21" t="s">
        <v>54</v>
      </c>
      <c r="I112" s="29">
        <v>5.2716950527169619E-2</v>
      </c>
    </row>
    <row r="113" spans="1:10" x14ac:dyDescent="0.3">
      <c r="A113" s="12" t="s">
        <v>29</v>
      </c>
      <c r="B113" s="23">
        <v>7.7363896848137617E-2</v>
      </c>
      <c r="C113" s="12" t="str">
        <f>VLOOKUP(A113,Sheet1!A:B,2,0)</f>
        <v>GI</v>
      </c>
      <c r="E113" s="12" t="str">
        <v>Misc</v>
      </c>
      <c r="F113" s="23">
        <f t="shared" si="1"/>
        <v>4.090577063550032E-2</v>
      </c>
      <c r="H113" s="21" t="s">
        <v>25</v>
      </c>
      <c r="I113" s="29">
        <v>4.0965618141916772E-2</v>
      </c>
    </row>
    <row r="114" spans="1:10" x14ac:dyDescent="0.3">
      <c r="A114" s="12" t="s">
        <v>8</v>
      </c>
      <c r="B114" s="23">
        <v>7.6070901033973279E-2</v>
      </c>
      <c r="C114" s="12" t="str">
        <f>VLOOKUP(A114,Sheet1!A:B,2,0)</f>
        <v>Food</v>
      </c>
      <c r="E114" s="12" t="str">
        <v>Education</v>
      </c>
      <c r="F114" s="23">
        <f t="shared" si="1"/>
        <v>3.6617842876165117E-2</v>
      </c>
      <c r="H114" s="21" t="s">
        <v>58</v>
      </c>
      <c r="I114" s="29">
        <v>4.090577063550032E-2</v>
      </c>
    </row>
    <row r="115" spans="1:10" x14ac:dyDescent="0.3">
      <c r="A115" s="12" t="s">
        <v>12</v>
      </c>
      <c r="B115" s="23">
        <v>6.671449067431838E-2</v>
      </c>
      <c r="C115" s="12" t="str">
        <f>VLOOKUP(A115,Sheet1!A:B,2,0)</f>
        <v>Food</v>
      </c>
      <c r="E115" s="12" t="str">
        <v>Health</v>
      </c>
      <c r="F115" s="23">
        <f t="shared" si="1"/>
        <v>3.6526533425224064E-2</v>
      </c>
      <c r="H115" s="21" t="s">
        <v>26</v>
      </c>
      <c r="I115" s="29">
        <v>3.6617842876165117E-2</v>
      </c>
    </row>
    <row r="116" spans="1:10" x14ac:dyDescent="0.3">
      <c r="A116" s="12" t="s">
        <v>27</v>
      </c>
      <c r="B116" s="23">
        <v>5.7228915662650558E-2</v>
      </c>
      <c r="C116" s="12" t="str">
        <f>VLOOKUP(A116,Sheet1!A:B,2,0)</f>
        <v>Personal care and effects</v>
      </c>
      <c r="E116" s="12" t="str">
        <v>Housing</v>
      </c>
      <c r="F116" s="23">
        <f t="shared" si="1"/>
        <v>4.9849785852901687E-2</v>
      </c>
      <c r="H116" s="21" t="s">
        <v>23</v>
      </c>
      <c r="I116" s="29">
        <v>3.6526533425224064E-2</v>
      </c>
    </row>
    <row r="117" spans="1:10" x14ac:dyDescent="0.3">
      <c r="A117" s="12" t="s">
        <v>24</v>
      </c>
      <c r="B117" s="23">
        <v>5.2716950527169619E-2</v>
      </c>
      <c r="C117" s="12" t="str">
        <f>VLOOKUP(A117,Sheet1!A:B,2,0)</f>
        <v>Transport</v>
      </c>
      <c r="E117" s="12" t="str">
        <v>Luxury</v>
      </c>
      <c r="F117" s="23">
        <f t="shared" si="1"/>
        <v>5.1230178868246545E-2</v>
      </c>
      <c r="H117" s="21" t="s">
        <v>20</v>
      </c>
      <c r="I117" s="29">
        <v>4.9849785852901687E-2</v>
      </c>
    </row>
    <row r="118" spans="1:10" x14ac:dyDescent="0.3">
      <c r="A118" s="12" t="s">
        <v>3</v>
      </c>
      <c r="B118" s="23">
        <v>4.6681254558716308E-2</v>
      </c>
      <c r="C118" s="12" t="str">
        <f>VLOOKUP(A118,Sheet1!A:B,2,0)</f>
        <v>Food</v>
      </c>
      <c r="E118" s="12" t="str">
        <v>Fuel and light</v>
      </c>
      <c r="F118" s="23">
        <f t="shared" si="1"/>
        <v>3.0107526881720349E-2</v>
      </c>
      <c r="H118" s="21" t="s">
        <v>52</v>
      </c>
      <c r="I118" s="29">
        <v>5.1230178868246545E-2</v>
      </c>
    </row>
    <row r="119" spans="1:10" x14ac:dyDescent="0.3">
      <c r="A119" s="12" t="s">
        <v>11</v>
      </c>
      <c r="B119" s="23">
        <v>4.491292392300647E-2</v>
      </c>
      <c r="C119" s="12" t="str">
        <f>VLOOKUP(A119,Sheet1!A:B,2,0)</f>
        <v>Food</v>
      </c>
      <c r="E119" s="12" t="str">
        <v>Apparel</v>
      </c>
      <c r="F119" s="23">
        <f t="shared" si="1"/>
        <v>5.2599008358287541E-2</v>
      </c>
      <c r="H119" s="21" t="s">
        <v>21</v>
      </c>
      <c r="I119" s="29">
        <v>3.0107526881720349E-2</v>
      </c>
    </row>
    <row r="120" spans="1:10" x14ac:dyDescent="0.3">
      <c r="A120" s="12" t="s">
        <v>6</v>
      </c>
      <c r="B120" s="23">
        <v>4.3631245601689073E-2</v>
      </c>
      <c r="C120" s="12" t="str">
        <f>VLOOKUP(A120,Sheet1!A:B,2,0)</f>
        <v>Food</v>
      </c>
      <c r="E120" s="11" t="s">
        <v>62</v>
      </c>
      <c r="F120" s="22">
        <f>SUM(F108:F119)</f>
        <v>1.9561319585889667</v>
      </c>
      <c r="H120" s="21" t="s">
        <v>53</v>
      </c>
      <c r="I120" s="29">
        <v>5.2599008358287541E-2</v>
      </c>
    </row>
    <row r="121" spans="1:10" x14ac:dyDescent="0.3">
      <c r="A121" s="12" t="s">
        <v>25</v>
      </c>
      <c r="B121" s="23">
        <v>4.0965618141916772E-2</v>
      </c>
      <c r="C121" s="12" t="str">
        <f>VLOOKUP(A121,Sheet1!A:B,2,0)</f>
        <v>Recreation and amusement</v>
      </c>
      <c r="H121" s="36" t="s">
        <v>62</v>
      </c>
      <c r="I121" s="37">
        <v>1.9561319585889667</v>
      </c>
    </row>
    <row r="122" spans="1:10" x14ac:dyDescent="0.3">
      <c r="A122" s="12" t="s">
        <v>28</v>
      </c>
      <c r="B122" s="23">
        <v>4.090577063550032E-2</v>
      </c>
      <c r="C122" s="12" t="str">
        <f>VLOOKUP(A122,Sheet1!A:B,2,0)</f>
        <v>Misc</v>
      </c>
    </row>
    <row r="123" spans="1:10" x14ac:dyDescent="0.3">
      <c r="A123" s="12" t="s">
        <v>26</v>
      </c>
      <c r="B123" s="23">
        <v>3.6617842876165117E-2</v>
      </c>
      <c r="C123" s="12" t="str">
        <f>VLOOKUP(A123,Sheet1!A:B,2,0)</f>
        <v>Education</v>
      </c>
    </row>
    <row r="124" spans="1:10" x14ac:dyDescent="0.3">
      <c r="A124" s="12" t="s">
        <v>23</v>
      </c>
      <c r="B124" s="23">
        <v>3.6526533425224064E-2</v>
      </c>
      <c r="C124" s="12" t="str">
        <f>VLOOKUP(A124,Sheet1!A:B,2,0)</f>
        <v>Health</v>
      </c>
      <c r="H124" s="32" t="s">
        <v>49</v>
      </c>
      <c r="I124" s="23" t="s">
        <v>74</v>
      </c>
      <c r="J124" s="38" t="s">
        <v>73</v>
      </c>
    </row>
    <row r="125" spans="1:10" x14ac:dyDescent="0.3">
      <c r="A125" s="12" t="s">
        <v>20</v>
      </c>
      <c r="B125" s="23">
        <v>3.4529451591063125E-2</v>
      </c>
      <c r="C125" s="12" t="str">
        <f>VLOOKUP(A125,Sheet1!A:B,2,0)</f>
        <v>Housing</v>
      </c>
      <c r="H125" s="32" t="s">
        <v>9</v>
      </c>
      <c r="I125" s="23">
        <v>0.65270373191165254</v>
      </c>
      <c r="J125" s="38" t="s">
        <v>51</v>
      </c>
    </row>
    <row r="126" spans="1:10" x14ac:dyDescent="0.3">
      <c r="A126" s="12" t="s">
        <v>16</v>
      </c>
      <c r="B126" s="23">
        <v>3.2475490196078503E-2</v>
      </c>
      <c r="C126" s="12" t="str">
        <f>VLOOKUP(A126,Sheet1!A:B,2,0)</f>
        <v>Luxury</v>
      </c>
      <c r="H126" s="32" t="s">
        <v>10</v>
      </c>
      <c r="I126" s="23">
        <v>0.14962593516209488</v>
      </c>
      <c r="J126" s="38" t="s">
        <v>51</v>
      </c>
    </row>
    <row r="127" spans="1:10" x14ac:dyDescent="0.3">
      <c r="A127" s="12" t="s">
        <v>7</v>
      </c>
      <c r="B127" s="23">
        <v>3.2019704433497581E-2</v>
      </c>
      <c r="C127" s="12" t="str">
        <f>VLOOKUP(A127,Sheet1!A:B,2,0)</f>
        <v>Food</v>
      </c>
      <c r="H127" s="32" t="s">
        <v>15</v>
      </c>
      <c r="I127" s="23">
        <v>0.1280931586608442</v>
      </c>
      <c r="J127" s="38" t="s">
        <v>51</v>
      </c>
    </row>
    <row r="128" spans="1:10" x14ac:dyDescent="0.3">
      <c r="A128" s="12" t="s">
        <v>21</v>
      </c>
      <c r="B128" s="23">
        <v>3.0107526881720349E-2</v>
      </c>
      <c r="C128" s="12" t="str">
        <f>VLOOKUP(A128,Sheet1!A:B,2,0)</f>
        <v>Fuel and light</v>
      </c>
      <c r="H128" s="32" t="s">
        <v>4</v>
      </c>
      <c r="I128" s="23">
        <v>8.9828269484808418E-2</v>
      </c>
      <c r="J128" s="38" t="s">
        <v>51</v>
      </c>
    </row>
    <row r="129" spans="1:10" x14ac:dyDescent="0.3">
      <c r="A129" s="12" t="s">
        <v>14</v>
      </c>
      <c r="B129" s="23">
        <v>2.1992238033635224E-2</v>
      </c>
      <c r="C129" s="12" t="str">
        <f>VLOOKUP(A129,Sheet1!A:B,2,0)</f>
        <v>Food</v>
      </c>
      <c r="H129" s="32" t="s">
        <v>5</v>
      </c>
      <c r="I129" s="23">
        <v>7.7746077032810321E-2</v>
      </c>
      <c r="J129" s="38" t="s">
        <v>51</v>
      </c>
    </row>
    <row r="130" spans="1:10" x14ac:dyDescent="0.3">
      <c r="A130" s="12" t="s">
        <v>13</v>
      </c>
      <c r="B130" s="23">
        <v>1.8754688672168042E-2</v>
      </c>
      <c r="C130" s="12" t="str">
        <f>VLOOKUP(A130,Sheet1!A:B,2,0)</f>
        <v>Luxury</v>
      </c>
      <c r="H130" s="32" t="s">
        <v>8</v>
      </c>
      <c r="I130" s="23">
        <v>7.6070901033973279E-2</v>
      </c>
      <c r="J130" s="38" t="s">
        <v>51</v>
      </c>
    </row>
    <row r="131" spans="1:10" x14ac:dyDescent="0.3">
      <c r="A131" s="12" t="s">
        <v>17</v>
      </c>
      <c r="B131" s="23">
        <v>1.8292682926829385E-2</v>
      </c>
      <c r="C131" s="12" t="str">
        <f>VLOOKUP(A131,Sheet1!A:B,2,0)</f>
        <v>Apparel</v>
      </c>
      <c r="H131" s="32" t="s">
        <v>12</v>
      </c>
      <c r="I131" s="23">
        <v>6.671449067431838E-2</v>
      </c>
      <c r="J131" s="38" t="s">
        <v>51</v>
      </c>
    </row>
    <row r="132" spans="1:10" x14ac:dyDescent="0.3">
      <c r="A132" s="12" t="s">
        <v>19</v>
      </c>
      <c r="B132" s="23">
        <v>1.7759562841530015E-2</v>
      </c>
      <c r="C132" s="12" t="str">
        <f>VLOOKUP(A132,Sheet1!A:B,2,0)</f>
        <v>Apparel</v>
      </c>
      <c r="H132" s="32" t="s">
        <v>3</v>
      </c>
      <c r="I132" s="23">
        <v>4.6681254558716308E-2</v>
      </c>
      <c r="J132" s="38" t="s">
        <v>51</v>
      </c>
    </row>
    <row r="133" spans="1:10" x14ac:dyDescent="0.3">
      <c r="A133" s="12" t="s">
        <v>18</v>
      </c>
      <c r="B133" s="23">
        <v>1.6546762589928141E-2</v>
      </c>
      <c r="C133" s="12" t="str">
        <f>VLOOKUP(A133,Sheet1!A:B,2,0)</f>
        <v>Apparel</v>
      </c>
      <c r="H133" s="32" t="s">
        <v>11</v>
      </c>
      <c r="I133" s="23">
        <v>4.491292392300647E-2</v>
      </c>
      <c r="J133" s="38" t="s">
        <v>51</v>
      </c>
    </row>
    <row r="134" spans="1:10" x14ac:dyDescent="0.3">
      <c r="A134" s="12" t="s">
        <v>22</v>
      </c>
      <c r="B134" s="23">
        <v>1.5320334261838559E-2</v>
      </c>
      <c r="C134" s="12" t="str">
        <f>VLOOKUP(A134,Sheet1!A:B,2,0)</f>
        <v>Housing</v>
      </c>
      <c r="H134" s="32" t="s">
        <v>6</v>
      </c>
      <c r="I134" s="23">
        <v>4.3631245601689073E-2</v>
      </c>
      <c r="J134" s="38" t="s">
        <v>51</v>
      </c>
    </row>
    <row r="135" spans="1:10" x14ac:dyDescent="0.3">
      <c r="H135" s="32" t="s">
        <v>7</v>
      </c>
      <c r="I135" s="23">
        <v>3.2019704433497581E-2</v>
      </c>
      <c r="J135" s="38" t="s">
        <v>51</v>
      </c>
    </row>
    <row r="136" spans="1:10" x14ac:dyDescent="0.3">
      <c r="H136" s="34" t="s">
        <v>14</v>
      </c>
      <c r="I136" s="39">
        <v>2.1992238033635224E-2</v>
      </c>
      <c r="J136" s="40" t="s">
        <v>51</v>
      </c>
    </row>
  </sheetData>
  <mergeCells count="1">
    <mergeCell ref="A104:C104"/>
  </mergeCells>
  <pageMargins left="0.7" right="0.7" top="0.75" bottom="0.75" header="0.3" footer="0.3"/>
  <drawing r:id="rId2"/>
  <tableParts count="3">
    <tablePart r:id="rId3"/>
    <tablePart r:id="rId4"/>
    <tablePart r:id="rId5"/>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95FDCD-ED81-4661-85AE-600AC7E4E3F7}">
  <dimension ref="A1:AA48"/>
  <sheetViews>
    <sheetView topLeftCell="W12" workbookViewId="0">
      <selection activeCell="P3" sqref="P3"/>
    </sheetView>
  </sheetViews>
  <sheetFormatPr defaultRowHeight="14.4" x14ac:dyDescent="0.3"/>
  <cols>
    <col min="16" max="16" width="8.88671875" style="13"/>
    <col min="18" max="18" width="11.21875" style="21" bestFit="1" customWidth="1"/>
    <col min="19" max="19" width="5" style="21" bestFit="1" customWidth="1"/>
    <col min="20" max="20" width="9.77734375" style="21" bestFit="1" customWidth="1"/>
    <col min="21" max="21" width="7.109375" style="41" bestFit="1" customWidth="1"/>
    <col min="24" max="24" width="10.44140625" customWidth="1"/>
    <col min="27" max="27" width="14.33203125" customWidth="1"/>
  </cols>
  <sheetData>
    <row r="1" spans="1:27" x14ac:dyDescent="0.3">
      <c r="A1" s="1" t="s">
        <v>0</v>
      </c>
      <c r="B1" s="2" t="s">
        <v>1</v>
      </c>
      <c r="C1" s="2" t="s">
        <v>2</v>
      </c>
      <c r="D1" s="2" t="s">
        <v>3</v>
      </c>
      <c r="E1" s="2" t="s">
        <v>4</v>
      </c>
      <c r="F1" s="2" t="s">
        <v>5</v>
      </c>
      <c r="G1" s="2" t="s">
        <v>6</v>
      </c>
      <c r="H1" s="2" t="s">
        <v>7</v>
      </c>
      <c r="I1" s="2" t="s">
        <v>8</v>
      </c>
      <c r="J1" s="2" t="s">
        <v>9</v>
      </c>
      <c r="K1" s="2" t="s">
        <v>10</v>
      </c>
      <c r="L1" s="2" t="s">
        <v>11</v>
      </c>
      <c r="M1" s="2" t="s">
        <v>12</v>
      </c>
      <c r="N1" s="2" t="s">
        <v>14</v>
      </c>
      <c r="O1" s="2" t="s">
        <v>15</v>
      </c>
      <c r="P1" s="26" t="s">
        <v>72</v>
      </c>
      <c r="R1" s="45" t="s">
        <v>0</v>
      </c>
      <c r="S1" s="45" t="s">
        <v>1</v>
      </c>
      <c r="T1" s="45" t="s">
        <v>2</v>
      </c>
      <c r="U1" s="46" t="s">
        <v>72</v>
      </c>
      <c r="X1" t="s">
        <v>2</v>
      </c>
      <c r="Y1" t="s">
        <v>30</v>
      </c>
      <c r="Z1" t="s">
        <v>33</v>
      </c>
      <c r="AA1" t="s">
        <v>80</v>
      </c>
    </row>
    <row r="2" spans="1:27" x14ac:dyDescent="0.3">
      <c r="A2" s="3" t="s">
        <v>30</v>
      </c>
      <c r="B2" s="4">
        <v>2022</v>
      </c>
      <c r="C2" s="4" t="s">
        <v>38</v>
      </c>
      <c r="D2" s="4">
        <v>152.9</v>
      </c>
      <c r="E2" s="4">
        <v>214.7</v>
      </c>
      <c r="F2" s="4">
        <v>161.4</v>
      </c>
      <c r="G2" s="4">
        <v>164.6</v>
      </c>
      <c r="H2" s="4">
        <v>209.9</v>
      </c>
      <c r="I2" s="4">
        <v>168</v>
      </c>
      <c r="J2" s="4">
        <v>160.4</v>
      </c>
      <c r="K2" s="4">
        <v>165</v>
      </c>
      <c r="L2" s="4">
        <v>118.9</v>
      </c>
      <c r="M2" s="4">
        <v>186.6</v>
      </c>
      <c r="N2" s="4">
        <v>180.4</v>
      </c>
      <c r="O2" s="4">
        <v>170.8</v>
      </c>
      <c r="P2" s="24"/>
      <c r="R2" s="42" t="s">
        <v>30</v>
      </c>
      <c r="S2" s="42">
        <v>2022</v>
      </c>
      <c r="T2" s="42" t="s">
        <v>43</v>
      </c>
      <c r="U2" s="43">
        <v>1.0826210826210859E-2</v>
      </c>
      <c r="X2" t="s">
        <v>31</v>
      </c>
      <c r="Y2" s="13">
        <v>3.4403669724770315E-3</v>
      </c>
      <c r="Z2" s="13">
        <v>5.0391937290033915E-3</v>
      </c>
      <c r="AA2" s="13">
        <v>4.5480386583284984E-3</v>
      </c>
    </row>
    <row r="3" spans="1:27" x14ac:dyDescent="0.3">
      <c r="A3" s="5" t="s">
        <v>30</v>
      </c>
      <c r="B3" s="6">
        <v>2022</v>
      </c>
      <c r="C3" s="6" t="s">
        <v>39</v>
      </c>
      <c r="D3" s="6">
        <v>153.80000000000001</v>
      </c>
      <c r="E3" s="6">
        <v>217.2</v>
      </c>
      <c r="F3" s="6">
        <v>169.6</v>
      </c>
      <c r="G3" s="6">
        <v>165.4</v>
      </c>
      <c r="H3" s="6">
        <v>208.1</v>
      </c>
      <c r="I3" s="6">
        <v>165.8</v>
      </c>
      <c r="J3" s="6">
        <v>167.3</v>
      </c>
      <c r="K3" s="6">
        <v>164.6</v>
      </c>
      <c r="L3" s="6">
        <v>119.1</v>
      </c>
      <c r="M3" s="6">
        <v>188.9</v>
      </c>
      <c r="N3" s="6">
        <v>181.9</v>
      </c>
      <c r="O3" s="6">
        <v>172.4</v>
      </c>
      <c r="P3" s="25">
        <f t="shared" ref="P3:P14" si="0">(O3-O2)/O2</f>
        <v>9.3676814988290051E-3</v>
      </c>
      <c r="R3" s="42" t="s">
        <v>30</v>
      </c>
      <c r="S3" s="42">
        <v>2022</v>
      </c>
      <c r="T3" s="42" t="s">
        <v>39</v>
      </c>
      <c r="U3" s="43">
        <v>9.3676814988290051E-3</v>
      </c>
      <c r="X3" t="s">
        <v>35</v>
      </c>
      <c r="Y3" s="13">
        <v>-1.1428571428570779E-3</v>
      </c>
      <c r="Z3" s="13">
        <v>6.6852367688021649E-3</v>
      </c>
      <c r="AA3" s="13">
        <v>1.6977928692700134E-3</v>
      </c>
    </row>
    <row r="4" spans="1:27" x14ac:dyDescent="0.3">
      <c r="A4" s="3" t="s">
        <v>30</v>
      </c>
      <c r="B4" s="4">
        <v>2022</v>
      </c>
      <c r="C4" s="4" t="s">
        <v>40</v>
      </c>
      <c r="D4" s="4">
        <v>155.19999999999999</v>
      </c>
      <c r="E4" s="4">
        <v>210.8</v>
      </c>
      <c r="F4" s="4">
        <v>174.3</v>
      </c>
      <c r="G4" s="4">
        <v>166.3</v>
      </c>
      <c r="H4" s="4">
        <v>202.2</v>
      </c>
      <c r="I4" s="4">
        <v>169.6</v>
      </c>
      <c r="J4" s="4">
        <v>168.6</v>
      </c>
      <c r="K4" s="4">
        <v>164.4</v>
      </c>
      <c r="L4" s="4">
        <v>119.2</v>
      </c>
      <c r="M4" s="4">
        <v>191.8</v>
      </c>
      <c r="N4" s="4">
        <v>183.1</v>
      </c>
      <c r="O4" s="4">
        <v>172.5</v>
      </c>
      <c r="P4" s="24">
        <f t="shared" si="0"/>
        <v>5.80046403712264E-4</v>
      </c>
      <c r="R4" s="21" t="s">
        <v>30</v>
      </c>
      <c r="S4" s="21">
        <v>2022</v>
      </c>
      <c r="T4" s="21" t="s">
        <v>42</v>
      </c>
      <c r="U4" s="41">
        <v>9.2006900517538487E-3</v>
      </c>
      <c r="X4" t="s">
        <v>36</v>
      </c>
      <c r="Y4" s="13">
        <v>0</v>
      </c>
      <c r="Z4" s="13">
        <v>5.5340343110139867E-4</v>
      </c>
      <c r="AA4" s="13">
        <v>0</v>
      </c>
    </row>
    <row r="5" spans="1:27" x14ac:dyDescent="0.3">
      <c r="A5" s="5" t="s">
        <v>30</v>
      </c>
      <c r="B5" s="6">
        <v>2022</v>
      </c>
      <c r="C5" s="6" t="s">
        <v>41</v>
      </c>
      <c r="D5" s="6">
        <v>159.5</v>
      </c>
      <c r="E5" s="6">
        <v>204.1</v>
      </c>
      <c r="F5" s="6">
        <v>168.3</v>
      </c>
      <c r="G5" s="6">
        <v>167.9</v>
      </c>
      <c r="H5" s="6">
        <v>198.1</v>
      </c>
      <c r="I5" s="6">
        <v>169.2</v>
      </c>
      <c r="J5" s="6">
        <v>173.1</v>
      </c>
      <c r="K5" s="6">
        <v>167.1</v>
      </c>
      <c r="L5" s="6">
        <v>120.2</v>
      </c>
      <c r="M5" s="6">
        <v>195.6</v>
      </c>
      <c r="N5" s="6">
        <v>184</v>
      </c>
      <c r="O5" s="6">
        <v>173.9</v>
      </c>
      <c r="P5" s="25">
        <f t="shared" si="0"/>
        <v>8.1159420289855407E-3</v>
      </c>
      <c r="R5" s="42" t="s">
        <v>30</v>
      </c>
      <c r="S5" s="42">
        <v>2022</v>
      </c>
      <c r="T5" s="42" t="s">
        <v>41</v>
      </c>
      <c r="U5" s="43">
        <v>8.1159420289855407E-3</v>
      </c>
      <c r="X5" t="s">
        <v>37</v>
      </c>
      <c r="Y5" s="13">
        <v>4.0045766590388367E-3</v>
      </c>
      <c r="Z5" s="13">
        <v>7.1902654867255691E-3</v>
      </c>
      <c r="AA5" s="13">
        <v>5.0847457627118961E-3</v>
      </c>
    </row>
    <row r="6" spans="1:27" x14ac:dyDescent="0.3">
      <c r="A6" s="3" t="s">
        <v>30</v>
      </c>
      <c r="B6" s="4">
        <v>2022</v>
      </c>
      <c r="C6" s="4" t="s">
        <v>42</v>
      </c>
      <c r="D6" s="4">
        <v>162.9</v>
      </c>
      <c r="E6" s="4">
        <v>206.7</v>
      </c>
      <c r="F6" s="4">
        <v>169</v>
      </c>
      <c r="G6" s="4">
        <v>169.5</v>
      </c>
      <c r="H6" s="4">
        <v>194.1</v>
      </c>
      <c r="I6" s="4">
        <v>164.1</v>
      </c>
      <c r="J6" s="4">
        <v>176.9</v>
      </c>
      <c r="K6" s="4">
        <v>169</v>
      </c>
      <c r="L6" s="4">
        <v>120.8</v>
      </c>
      <c r="M6" s="4">
        <v>199.1</v>
      </c>
      <c r="N6" s="4">
        <v>184.8</v>
      </c>
      <c r="O6" s="4">
        <v>175.5</v>
      </c>
      <c r="P6" s="24">
        <f t="shared" si="0"/>
        <v>9.2006900517538487E-3</v>
      </c>
      <c r="R6" s="42" t="s">
        <v>30</v>
      </c>
      <c r="S6" s="42">
        <v>2023</v>
      </c>
      <c r="T6" s="42" t="s">
        <v>38</v>
      </c>
      <c r="U6" s="43">
        <v>7.4074074074074719E-3</v>
      </c>
      <c r="X6" t="s">
        <v>38</v>
      </c>
      <c r="Y6" s="13">
        <v>7.4074074074074719E-3</v>
      </c>
      <c r="Z6" s="13">
        <v>5.4914881933003845E-3</v>
      </c>
      <c r="AA6" s="13">
        <v>6.7453625632377095E-3</v>
      </c>
    </row>
    <row r="7" spans="1:27" x14ac:dyDescent="0.3">
      <c r="A7" s="5" t="s">
        <v>30</v>
      </c>
      <c r="B7" s="6">
        <v>2022</v>
      </c>
      <c r="C7" s="6" t="s">
        <v>43</v>
      </c>
      <c r="D7" s="6">
        <v>164.7</v>
      </c>
      <c r="E7" s="6">
        <v>208.8</v>
      </c>
      <c r="F7" s="6">
        <v>170.3</v>
      </c>
      <c r="G7" s="6">
        <v>170.9</v>
      </c>
      <c r="H7" s="6">
        <v>191.6</v>
      </c>
      <c r="I7" s="6">
        <v>162.19999999999999</v>
      </c>
      <c r="J7" s="6">
        <v>184.8</v>
      </c>
      <c r="K7" s="6">
        <v>169.7</v>
      </c>
      <c r="L7" s="6">
        <v>121.1</v>
      </c>
      <c r="M7" s="6">
        <v>201.6</v>
      </c>
      <c r="N7" s="6">
        <v>185.6</v>
      </c>
      <c r="O7" s="6">
        <v>177.4</v>
      </c>
      <c r="P7" s="25">
        <f t="shared" si="0"/>
        <v>1.0826210826210859E-2</v>
      </c>
      <c r="R7" s="42" t="s">
        <v>30</v>
      </c>
      <c r="S7" s="42">
        <v>2023</v>
      </c>
      <c r="T7" s="42" t="s">
        <v>37</v>
      </c>
      <c r="U7" s="43">
        <v>4.0045766590388367E-3</v>
      </c>
      <c r="X7" t="s">
        <v>39</v>
      </c>
      <c r="Y7" s="13">
        <v>9.3676814988290051E-3</v>
      </c>
      <c r="Z7" s="13">
        <v>1.0140845070422599E-2</v>
      </c>
      <c r="AA7" s="13">
        <v>9.2325447201384546E-3</v>
      </c>
    </row>
    <row r="8" spans="1:27" x14ac:dyDescent="0.3">
      <c r="A8" s="3" t="s">
        <v>30</v>
      </c>
      <c r="B8" s="4">
        <v>2022</v>
      </c>
      <c r="C8" s="4" t="s">
        <v>45</v>
      </c>
      <c r="D8" s="4">
        <v>166.9</v>
      </c>
      <c r="E8" s="4">
        <v>207.2</v>
      </c>
      <c r="F8" s="4">
        <v>180.2</v>
      </c>
      <c r="G8" s="4">
        <v>172.3</v>
      </c>
      <c r="H8" s="4">
        <v>194</v>
      </c>
      <c r="I8" s="4">
        <v>159.1</v>
      </c>
      <c r="J8" s="4">
        <v>171.6</v>
      </c>
      <c r="K8" s="4">
        <v>170.2</v>
      </c>
      <c r="L8" s="4">
        <v>121.5</v>
      </c>
      <c r="M8" s="4">
        <v>204.8</v>
      </c>
      <c r="N8" s="4">
        <v>186.9</v>
      </c>
      <c r="O8" s="4">
        <v>176.6</v>
      </c>
      <c r="P8" s="24">
        <f t="shared" si="0"/>
        <v>-4.5095828635851824E-3</v>
      </c>
      <c r="R8" s="21" t="s">
        <v>30</v>
      </c>
      <c r="S8" s="21">
        <v>2023</v>
      </c>
      <c r="T8" s="21" t="s">
        <v>31</v>
      </c>
      <c r="U8" s="41">
        <v>3.4403669724770315E-3</v>
      </c>
      <c r="X8" t="s">
        <v>40</v>
      </c>
      <c r="Y8" s="13">
        <v>5.80046403712264E-4</v>
      </c>
      <c r="Z8" s="13">
        <v>5.5772448410482047E-4</v>
      </c>
      <c r="AA8" s="13">
        <v>5.7175528873638828E-4</v>
      </c>
    </row>
    <row r="9" spans="1:27" x14ac:dyDescent="0.3">
      <c r="A9" s="5" t="s">
        <v>30</v>
      </c>
      <c r="B9" s="6">
        <v>2022</v>
      </c>
      <c r="C9" s="6" t="s">
        <v>46</v>
      </c>
      <c r="D9" s="6">
        <v>168.8</v>
      </c>
      <c r="E9" s="6">
        <v>206.9</v>
      </c>
      <c r="F9" s="6">
        <v>189.1</v>
      </c>
      <c r="G9" s="6">
        <v>173.4</v>
      </c>
      <c r="H9" s="6">
        <v>193.9</v>
      </c>
      <c r="I9" s="6">
        <v>156.69999999999999</v>
      </c>
      <c r="J9" s="6">
        <v>150.19999999999999</v>
      </c>
      <c r="K9" s="6">
        <v>170.5</v>
      </c>
      <c r="L9" s="6">
        <v>121.2</v>
      </c>
      <c r="M9" s="6">
        <v>207.5</v>
      </c>
      <c r="N9" s="6">
        <v>187.7</v>
      </c>
      <c r="O9" s="6">
        <v>174.4</v>
      </c>
      <c r="P9" s="25">
        <f t="shared" si="0"/>
        <v>-1.2457531143827796E-2</v>
      </c>
      <c r="R9" s="21" t="s">
        <v>30</v>
      </c>
      <c r="S9" s="21">
        <v>2022</v>
      </c>
      <c r="T9" s="21" t="s">
        <v>40</v>
      </c>
      <c r="U9" s="41">
        <v>5.80046403712264E-4</v>
      </c>
      <c r="X9" t="s">
        <v>41</v>
      </c>
      <c r="Y9" s="13">
        <v>8.1159420289855407E-3</v>
      </c>
      <c r="Z9" s="13">
        <v>5.5741360089186171E-3</v>
      </c>
      <c r="AA9" s="13">
        <v>7.4285714285714935E-3</v>
      </c>
    </row>
    <row r="10" spans="1:27" x14ac:dyDescent="0.3">
      <c r="A10" s="3" t="s">
        <v>30</v>
      </c>
      <c r="B10" s="4">
        <v>2023</v>
      </c>
      <c r="C10" s="4" t="s">
        <v>31</v>
      </c>
      <c r="D10" s="4">
        <v>174</v>
      </c>
      <c r="E10" s="4">
        <v>208.3</v>
      </c>
      <c r="F10" s="4">
        <v>192.9</v>
      </c>
      <c r="G10" s="4">
        <v>174.3</v>
      </c>
      <c r="H10" s="4">
        <v>192.6</v>
      </c>
      <c r="I10" s="4">
        <v>156.30000000000001</v>
      </c>
      <c r="J10" s="4">
        <v>142.9</v>
      </c>
      <c r="K10" s="4">
        <v>170.7</v>
      </c>
      <c r="L10" s="4">
        <v>120.3</v>
      </c>
      <c r="M10" s="4">
        <v>210.5</v>
      </c>
      <c r="N10" s="4">
        <v>188.5</v>
      </c>
      <c r="O10" s="4">
        <v>175</v>
      </c>
      <c r="P10" s="24">
        <f t="shared" si="0"/>
        <v>3.4403669724770315E-3</v>
      </c>
      <c r="R10" s="21" t="s">
        <v>30</v>
      </c>
      <c r="S10" s="21">
        <v>2023</v>
      </c>
      <c r="T10" s="21" t="s">
        <v>36</v>
      </c>
      <c r="U10" s="41">
        <v>0</v>
      </c>
      <c r="X10" t="s">
        <v>42</v>
      </c>
      <c r="Y10" s="13">
        <v>9.2006900517538487E-3</v>
      </c>
      <c r="Z10" s="13">
        <v>7.7605321507760849E-3</v>
      </c>
      <c r="AA10" s="13">
        <v>8.5082246171298923E-3</v>
      </c>
    </row>
    <row r="11" spans="1:27" x14ac:dyDescent="0.3">
      <c r="A11" s="5" t="s">
        <v>30</v>
      </c>
      <c r="B11" s="6">
        <v>2023</v>
      </c>
      <c r="C11" s="6" t="s">
        <v>35</v>
      </c>
      <c r="D11" s="6">
        <v>174.2</v>
      </c>
      <c r="E11" s="6">
        <v>205.2</v>
      </c>
      <c r="F11" s="6">
        <v>173.9</v>
      </c>
      <c r="G11" s="6">
        <v>177</v>
      </c>
      <c r="H11" s="6">
        <v>183.4</v>
      </c>
      <c r="I11" s="6">
        <v>167.2</v>
      </c>
      <c r="J11" s="6">
        <v>140.9</v>
      </c>
      <c r="K11" s="6">
        <v>170.4</v>
      </c>
      <c r="L11" s="6">
        <v>119.1</v>
      </c>
      <c r="M11" s="6">
        <v>212.1</v>
      </c>
      <c r="N11" s="6">
        <v>189.9</v>
      </c>
      <c r="O11" s="6">
        <v>174.8</v>
      </c>
      <c r="P11" s="25">
        <f t="shared" si="0"/>
        <v>-1.1428571428570779E-3</v>
      </c>
      <c r="R11" s="21" t="s">
        <v>30</v>
      </c>
      <c r="S11" s="21">
        <v>2023</v>
      </c>
      <c r="T11" s="21" t="s">
        <v>35</v>
      </c>
      <c r="U11" s="41">
        <v>-1.1428571428570779E-3</v>
      </c>
      <c r="X11" t="s">
        <v>43</v>
      </c>
      <c r="Y11" s="13">
        <v>1.0826210826210859E-2</v>
      </c>
      <c r="Z11" s="13">
        <v>8.2508250825082501E-3</v>
      </c>
      <c r="AA11" s="13">
        <v>1.0123734533183255E-2</v>
      </c>
    </row>
    <row r="12" spans="1:27" x14ac:dyDescent="0.3">
      <c r="A12" s="3" t="s">
        <v>30</v>
      </c>
      <c r="B12" s="4">
        <v>2023</v>
      </c>
      <c r="C12" s="4" t="s">
        <v>36</v>
      </c>
      <c r="D12" s="4">
        <v>174.3</v>
      </c>
      <c r="E12" s="4">
        <v>205.2</v>
      </c>
      <c r="F12" s="4">
        <v>173.9</v>
      </c>
      <c r="G12" s="4">
        <v>177</v>
      </c>
      <c r="H12" s="4">
        <v>183.3</v>
      </c>
      <c r="I12" s="4">
        <v>167.2</v>
      </c>
      <c r="J12" s="4">
        <v>140.9</v>
      </c>
      <c r="K12" s="4">
        <v>170.5</v>
      </c>
      <c r="L12" s="4">
        <v>119.1</v>
      </c>
      <c r="M12" s="4">
        <v>212.1</v>
      </c>
      <c r="N12" s="4">
        <v>189.9</v>
      </c>
      <c r="O12" s="4">
        <v>174.8</v>
      </c>
      <c r="P12" s="24">
        <f t="shared" si="0"/>
        <v>0</v>
      </c>
      <c r="R12" s="21" t="s">
        <v>30</v>
      </c>
      <c r="S12" s="21">
        <v>2022</v>
      </c>
      <c r="T12" s="21" t="s">
        <v>45</v>
      </c>
      <c r="U12" s="41">
        <v>-4.5095828635851824E-3</v>
      </c>
      <c r="X12" t="s">
        <v>45</v>
      </c>
      <c r="Y12" s="13">
        <v>-4.5095828635851824E-3</v>
      </c>
      <c r="Z12" s="13">
        <v>-1.0911074740861974E-2</v>
      </c>
      <c r="AA12" s="13">
        <v>-7.2383073496658295E-3</v>
      </c>
    </row>
    <row r="13" spans="1:27" x14ac:dyDescent="0.3">
      <c r="A13" s="5" t="s">
        <v>30</v>
      </c>
      <c r="B13" s="6">
        <v>2023</v>
      </c>
      <c r="C13" s="6" t="s">
        <v>37</v>
      </c>
      <c r="D13" s="6">
        <v>173.3</v>
      </c>
      <c r="E13" s="6">
        <v>206.9</v>
      </c>
      <c r="F13" s="6">
        <v>167.9</v>
      </c>
      <c r="G13" s="6">
        <v>178.2</v>
      </c>
      <c r="H13" s="6">
        <v>178.5</v>
      </c>
      <c r="I13" s="6">
        <v>173.7</v>
      </c>
      <c r="J13" s="6">
        <v>142.80000000000001</v>
      </c>
      <c r="K13" s="6">
        <v>172.8</v>
      </c>
      <c r="L13" s="6">
        <v>120.4</v>
      </c>
      <c r="M13" s="6">
        <v>215.5</v>
      </c>
      <c r="N13" s="6">
        <v>190.5</v>
      </c>
      <c r="O13" s="6">
        <v>175.5</v>
      </c>
      <c r="P13" s="25">
        <f t="shared" si="0"/>
        <v>4.0045766590388367E-3</v>
      </c>
      <c r="R13" s="42" t="s">
        <v>30</v>
      </c>
      <c r="S13" s="42">
        <v>2022</v>
      </c>
      <c r="T13" s="42" t="s">
        <v>46</v>
      </c>
      <c r="U13" s="43">
        <v>-1.2457531143827796E-2</v>
      </c>
      <c r="X13" t="s">
        <v>46</v>
      </c>
      <c r="Y13" s="13">
        <v>-1.2457531143827796E-2</v>
      </c>
      <c r="Z13" s="13">
        <v>-1.4892443463872128E-2</v>
      </c>
      <c r="AA13" s="13">
        <v>-1.3460459899046581E-2</v>
      </c>
    </row>
    <row r="14" spans="1:27" x14ac:dyDescent="0.3">
      <c r="A14" s="3" t="s">
        <v>30</v>
      </c>
      <c r="B14" s="4">
        <v>2023</v>
      </c>
      <c r="C14" s="4" t="s">
        <v>38</v>
      </c>
      <c r="D14" s="4">
        <v>173.2</v>
      </c>
      <c r="E14" s="4">
        <v>211.5</v>
      </c>
      <c r="F14" s="4">
        <v>171</v>
      </c>
      <c r="G14" s="4">
        <v>179.6</v>
      </c>
      <c r="H14" s="4">
        <v>173.3</v>
      </c>
      <c r="I14" s="4">
        <v>169</v>
      </c>
      <c r="J14" s="4">
        <v>148.69999999999999</v>
      </c>
      <c r="K14" s="4">
        <v>174.9</v>
      </c>
      <c r="L14" s="4">
        <v>121.9</v>
      </c>
      <c r="M14" s="4">
        <v>221</v>
      </c>
      <c r="N14" s="4">
        <v>191.1</v>
      </c>
      <c r="O14" s="4">
        <v>176.8</v>
      </c>
      <c r="P14" s="24">
        <f t="shared" si="0"/>
        <v>7.4074074074074719E-3</v>
      </c>
    </row>
    <row r="15" spans="1:27" x14ac:dyDescent="0.3">
      <c r="A15" s="27"/>
      <c r="B15" s="27"/>
      <c r="C15" s="27"/>
      <c r="D15" s="28">
        <f>(D14-D3)/D3</f>
        <v>0.12613784135240558</v>
      </c>
      <c r="E15" s="28">
        <f t="shared" ref="E15:P15" si="1">(E14-E3)/E3</f>
        <v>-2.6243093922651884E-2</v>
      </c>
      <c r="F15" s="28">
        <f t="shared" si="1"/>
        <v>8.2547169811321101E-3</v>
      </c>
      <c r="G15" s="28">
        <f t="shared" si="1"/>
        <v>8.5852478839177682E-2</v>
      </c>
      <c r="H15" s="28">
        <f t="shared" si="1"/>
        <v>-0.16722729456991822</v>
      </c>
      <c r="I15" s="28">
        <f t="shared" si="1"/>
        <v>1.9300361881785213E-2</v>
      </c>
      <c r="J15" s="28">
        <f t="shared" si="1"/>
        <v>-0.11117752540346695</v>
      </c>
      <c r="K15" s="28">
        <f t="shared" si="1"/>
        <v>6.2575941676792299E-2</v>
      </c>
      <c r="L15" s="28">
        <f t="shared" si="1"/>
        <v>2.350965575146945E-2</v>
      </c>
      <c r="M15" s="28">
        <f t="shared" si="1"/>
        <v>0.16993118051879297</v>
      </c>
      <c r="N15" s="28">
        <f t="shared" si="1"/>
        <v>5.0577240241891086E-2</v>
      </c>
      <c r="O15" s="28">
        <f t="shared" si="1"/>
        <v>2.5522041763341101E-2</v>
      </c>
      <c r="P15" s="28">
        <f t="shared" si="1"/>
        <v>-0.20925925925924946</v>
      </c>
    </row>
    <row r="18" spans="1:27" x14ac:dyDescent="0.3">
      <c r="A18" s="1" t="s">
        <v>0</v>
      </c>
      <c r="B18" s="2" t="s">
        <v>1</v>
      </c>
      <c r="C18" s="2" t="s">
        <v>2</v>
      </c>
      <c r="D18" s="2" t="s">
        <v>3</v>
      </c>
      <c r="E18" s="2" t="s">
        <v>4</v>
      </c>
      <c r="F18" s="2" t="s">
        <v>5</v>
      </c>
      <c r="G18" s="2" t="s">
        <v>6</v>
      </c>
      <c r="H18" s="2" t="s">
        <v>7</v>
      </c>
      <c r="I18" s="2" t="s">
        <v>8</v>
      </c>
      <c r="J18" s="2" t="s">
        <v>9</v>
      </c>
      <c r="K18" s="2" t="s">
        <v>10</v>
      </c>
      <c r="L18" s="2" t="s">
        <v>11</v>
      </c>
      <c r="M18" s="2" t="s">
        <v>12</v>
      </c>
      <c r="N18" s="2" t="s">
        <v>14</v>
      </c>
      <c r="O18" s="2" t="s">
        <v>15</v>
      </c>
      <c r="P18" s="26" t="s">
        <v>72</v>
      </c>
      <c r="R18" s="45" t="s">
        <v>0</v>
      </c>
      <c r="S18" s="45" t="s">
        <v>1</v>
      </c>
      <c r="T18" s="45" t="s">
        <v>2</v>
      </c>
      <c r="U18" s="46" t="s">
        <v>72</v>
      </c>
      <c r="X18" s="21" t="s">
        <v>49</v>
      </c>
      <c r="Y18" s="21" t="s">
        <v>30</v>
      </c>
      <c r="Z18" s="21" t="s">
        <v>33</v>
      </c>
      <c r="AA18" s="21" t="s">
        <v>80</v>
      </c>
    </row>
    <row r="19" spans="1:27" x14ac:dyDescent="0.3">
      <c r="A19" s="5" t="s">
        <v>33</v>
      </c>
      <c r="B19" s="6">
        <v>2022</v>
      </c>
      <c r="C19" s="6" t="s">
        <v>38</v>
      </c>
      <c r="D19" s="6">
        <v>156.69999999999999</v>
      </c>
      <c r="E19" s="6">
        <v>221.2</v>
      </c>
      <c r="F19" s="6">
        <v>164.1</v>
      </c>
      <c r="G19" s="6">
        <v>165.4</v>
      </c>
      <c r="H19" s="6">
        <v>189.5</v>
      </c>
      <c r="I19" s="6">
        <v>174.5</v>
      </c>
      <c r="J19" s="6">
        <v>203.2</v>
      </c>
      <c r="K19" s="6">
        <v>164.1</v>
      </c>
      <c r="L19" s="6">
        <v>121.2</v>
      </c>
      <c r="M19" s="6">
        <v>181.4</v>
      </c>
      <c r="N19" s="6">
        <v>184.9</v>
      </c>
      <c r="O19" s="6">
        <v>177.5</v>
      </c>
      <c r="P19" s="25"/>
      <c r="R19" s="42" t="s">
        <v>33</v>
      </c>
      <c r="S19" s="42">
        <v>2022</v>
      </c>
      <c r="T19" s="42" t="s">
        <v>39</v>
      </c>
      <c r="U19" s="43">
        <v>1.0140845070422599E-2</v>
      </c>
      <c r="X19" s="21" t="s">
        <v>3</v>
      </c>
      <c r="Y19" s="44">
        <v>0.12613784135240558</v>
      </c>
      <c r="Z19" s="44">
        <v>0.10920634920634914</v>
      </c>
      <c r="AA19" s="44">
        <v>0.1206451612903225</v>
      </c>
    </row>
    <row r="20" spans="1:27" x14ac:dyDescent="0.3">
      <c r="A20" s="3" t="s">
        <v>33</v>
      </c>
      <c r="B20" s="4">
        <v>2022</v>
      </c>
      <c r="C20" s="4" t="s">
        <v>39</v>
      </c>
      <c r="D20" s="4">
        <v>157.5</v>
      </c>
      <c r="E20" s="4">
        <v>223.4</v>
      </c>
      <c r="F20" s="4">
        <v>172.8</v>
      </c>
      <c r="G20" s="4">
        <v>166.4</v>
      </c>
      <c r="H20" s="4">
        <v>188.6</v>
      </c>
      <c r="I20" s="4">
        <v>174.1</v>
      </c>
      <c r="J20" s="4">
        <v>211.5</v>
      </c>
      <c r="K20" s="4">
        <v>163.6</v>
      </c>
      <c r="L20" s="4">
        <v>121.4</v>
      </c>
      <c r="M20" s="4">
        <v>183.5</v>
      </c>
      <c r="N20" s="4">
        <v>186.3</v>
      </c>
      <c r="O20" s="4">
        <v>179.3</v>
      </c>
      <c r="P20" s="24">
        <f t="shared" ref="P20:P31" si="2">(O20-O19)/O19</f>
        <v>1.0140845070422599E-2</v>
      </c>
      <c r="R20" s="42" t="s">
        <v>33</v>
      </c>
      <c r="S20" s="42">
        <v>2022</v>
      </c>
      <c r="T20" s="42" t="s">
        <v>43</v>
      </c>
      <c r="U20" s="43">
        <v>8.2508250825082501E-3</v>
      </c>
      <c r="X20" s="21" t="s">
        <v>4</v>
      </c>
      <c r="Y20" s="44">
        <v>-2.6243093922651884E-2</v>
      </c>
      <c r="Z20" s="44">
        <v>-1.7905102954341987E-2</v>
      </c>
      <c r="AA20" s="44">
        <v>-2.3245214220601614E-2</v>
      </c>
    </row>
    <row r="21" spans="1:27" x14ac:dyDescent="0.3">
      <c r="A21" s="5" t="s">
        <v>33</v>
      </c>
      <c r="B21" s="6">
        <v>2022</v>
      </c>
      <c r="C21" s="6" t="s">
        <v>40</v>
      </c>
      <c r="D21" s="6">
        <v>159.30000000000001</v>
      </c>
      <c r="E21" s="6">
        <v>217.1</v>
      </c>
      <c r="F21" s="6">
        <v>176.6</v>
      </c>
      <c r="G21" s="6">
        <v>167.1</v>
      </c>
      <c r="H21" s="6">
        <v>184.8</v>
      </c>
      <c r="I21" s="6">
        <v>179.5</v>
      </c>
      <c r="J21" s="6">
        <v>208.5</v>
      </c>
      <c r="K21" s="6">
        <v>164</v>
      </c>
      <c r="L21" s="6">
        <v>121.5</v>
      </c>
      <c r="M21" s="6">
        <v>186.3</v>
      </c>
      <c r="N21" s="6">
        <v>187.7</v>
      </c>
      <c r="O21" s="6">
        <v>179.4</v>
      </c>
      <c r="P21" s="25">
        <f t="shared" si="2"/>
        <v>5.5772448410482047E-4</v>
      </c>
      <c r="R21" s="21" t="s">
        <v>33</v>
      </c>
      <c r="S21" s="21">
        <v>2022</v>
      </c>
      <c r="T21" s="21" t="s">
        <v>42</v>
      </c>
      <c r="U21" s="41">
        <v>7.7605321507760849E-3</v>
      </c>
      <c r="X21" s="21" t="s">
        <v>5</v>
      </c>
      <c r="Y21" s="44">
        <v>8.2547169811321101E-3</v>
      </c>
      <c r="Z21" s="44">
        <v>2.2569444444444312E-2</v>
      </c>
      <c r="AA21" s="44">
        <v>1.4051522248243426E-2</v>
      </c>
    </row>
    <row r="22" spans="1:27" x14ac:dyDescent="0.3">
      <c r="A22" s="3" t="s">
        <v>33</v>
      </c>
      <c r="B22" s="4">
        <v>2022</v>
      </c>
      <c r="C22" s="4" t="s">
        <v>41</v>
      </c>
      <c r="D22" s="4">
        <v>162.1</v>
      </c>
      <c r="E22" s="4">
        <v>210.9</v>
      </c>
      <c r="F22" s="4">
        <v>170.6</v>
      </c>
      <c r="G22" s="4">
        <v>168.4</v>
      </c>
      <c r="H22" s="4">
        <v>182.5</v>
      </c>
      <c r="I22" s="4">
        <v>177.1</v>
      </c>
      <c r="J22" s="4">
        <v>213.1</v>
      </c>
      <c r="K22" s="4">
        <v>167.3</v>
      </c>
      <c r="L22" s="4">
        <v>122.2</v>
      </c>
      <c r="M22" s="4">
        <v>189.7</v>
      </c>
      <c r="N22" s="4">
        <v>188.9</v>
      </c>
      <c r="O22" s="4">
        <v>180.4</v>
      </c>
      <c r="P22" s="24">
        <f t="shared" si="2"/>
        <v>5.5741360089186171E-3</v>
      </c>
      <c r="R22" s="42" t="s">
        <v>33</v>
      </c>
      <c r="S22" s="42">
        <v>2023</v>
      </c>
      <c r="T22" s="42" t="s">
        <v>37</v>
      </c>
      <c r="U22" s="43">
        <v>7.1902654867255691E-3</v>
      </c>
      <c r="X22" s="21" t="s">
        <v>6</v>
      </c>
      <c r="Y22" s="44">
        <v>8.5852478839177682E-2</v>
      </c>
      <c r="Z22" s="44">
        <v>7.8125E-2</v>
      </c>
      <c r="AA22" s="44">
        <v>8.2629674306393175E-2</v>
      </c>
    </row>
    <row r="23" spans="1:27" x14ac:dyDescent="0.3">
      <c r="A23" s="5" t="s">
        <v>33</v>
      </c>
      <c r="B23" s="6">
        <v>2022</v>
      </c>
      <c r="C23" s="6" t="s">
        <v>42</v>
      </c>
      <c r="D23" s="6">
        <v>164.9</v>
      </c>
      <c r="E23" s="6">
        <v>213.7</v>
      </c>
      <c r="F23" s="6">
        <v>170.9</v>
      </c>
      <c r="G23" s="6">
        <v>170.1</v>
      </c>
      <c r="H23" s="6">
        <v>179.3</v>
      </c>
      <c r="I23" s="6">
        <v>167.5</v>
      </c>
      <c r="J23" s="6">
        <v>220.8</v>
      </c>
      <c r="K23" s="6">
        <v>169.2</v>
      </c>
      <c r="L23" s="6">
        <v>123.1</v>
      </c>
      <c r="M23" s="6">
        <v>193.6</v>
      </c>
      <c r="N23" s="6">
        <v>190.4</v>
      </c>
      <c r="O23" s="6">
        <v>181.8</v>
      </c>
      <c r="P23" s="25">
        <f t="shared" si="2"/>
        <v>7.7605321507760849E-3</v>
      </c>
      <c r="R23" s="42" t="s">
        <v>33</v>
      </c>
      <c r="S23" s="42">
        <v>2023</v>
      </c>
      <c r="T23" s="42" t="s">
        <v>35</v>
      </c>
      <c r="U23" s="43">
        <v>6.6852367688021649E-3</v>
      </c>
      <c r="X23" s="21" t="s">
        <v>7</v>
      </c>
      <c r="Y23" s="44">
        <v>-0.16722729456991822</v>
      </c>
      <c r="Z23" s="44">
        <v>-0.12831389183457045</v>
      </c>
      <c r="AA23" s="44">
        <v>-0.15380786460925835</v>
      </c>
    </row>
    <row r="24" spans="1:27" x14ac:dyDescent="0.3">
      <c r="A24" s="3" t="s">
        <v>33</v>
      </c>
      <c r="B24" s="4">
        <v>2022</v>
      </c>
      <c r="C24" s="4" t="s">
        <v>43</v>
      </c>
      <c r="D24" s="4">
        <v>166.4</v>
      </c>
      <c r="E24" s="4">
        <v>214.9</v>
      </c>
      <c r="F24" s="4">
        <v>171.9</v>
      </c>
      <c r="G24" s="4">
        <v>171</v>
      </c>
      <c r="H24" s="4">
        <v>177.7</v>
      </c>
      <c r="I24" s="4">
        <v>165.7</v>
      </c>
      <c r="J24" s="4">
        <v>228.6</v>
      </c>
      <c r="K24" s="4">
        <v>169.9</v>
      </c>
      <c r="L24" s="4">
        <v>123.4</v>
      </c>
      <c r="M24" s="4">
        <v>196.4</v>
      </c>
      <c r="N24" s="4">
        <v>191.5</v>
      </c>
      <c r="O24" s="4">
        <v>183.3</v>
      </c>
      <c r="P24" s="24">
        <f t="shared" si="2"/>
        <v>8.2508250825082501E-3</v>
      </c>
      <c r="R24" s="42" t="s">
        <v>33</v>
      </c>
      <c r="S24" s="42">
        <v>2022</v>
      </c>
      <c r="T24" s="42" t="s">
        <v>41</v>
      </c>
      <c r="U24" s="43">
        <v>5.5741360089186171E-3</v>
      </c>
      <c r="X24" s="21" t="s">
        <v>8</v>
      </c>
      <c r="Y24" s="44">
        <v>1.9300361881785213E-2</v>
      </c>
      <c r="Z24" s="44">
        <v>9.7645031591040623E-3</v>
      </c>
      <c r="AA24" s="44">
        <v>1.4731879787860933E-2</v>
      </c>
    </row>
    <row r="25" spans="1:27" x14ac:dyDescent="0.3">
      <c r="A25" s="5" t="s">
        <v>33</v>
      </c>
      <c r="B25" s="6">
        <v>2022</v>
      </c>
      <c r="C25" s="6" t="s">
        <v>45</v>
      </c>
      <c r="D25" s="6">
        <v>168.4</v>
      </c>
      <c r="E25" s="6">
        <v>213.4</v>
      </c>
      <c r="F25" s="6">
        <v>183.2</v>
      </c>
      <c r="G25" s="6">
        <v>172.3</v>
      </c>
      <c r="H25" s="6">
        <v>180</v>
      </c>
      <c r="I25" s="6">
        <v>162.6</v>
      </c>
      <c r="J25" s="6">
        <v>205.5</v>
      </c>
      <c r="K25" s="6">
        <v>171</v>
      </c>
      <c r="L25" s="6">
        <v>123.4</v>
      </c>
      <c r="M25" s="6">
        <v>198.8</v>
      </c>
      <c r="N25" s="6">
        <v>192.4</v>
      </c>
      <c r="O25" s="6">
        <v>181.3</v>
      </c>
      <c r="P25" s="25">
        <f t="shared" si="2"/>
        <v>-1.0911074740861974E-2</v>
      </c>
      <c r="R25" s="21" t="s">
        <v>33</v>
      </c>
      <c r="S25" s="21">
        <v>2023</v>
      </c>
      <c r="T25" s="21" t="s">
        <v>38</v>
      </c>
      <c r="U25" s="41">
        <v>5.4914881933003845E-3</v>
      </c>
      <c r="X25" s="21" t="s">
        <v>9</v>
      </c>
      <c r="Y25" s="44">
        <v>-0.11117752540346695</v>
      </c>
      <c r="Z25" s="44">
        <v>-0.12529550827423167</v>
      </c>
      <c r="AA25" s="44">
        <v>-0.11684037301151953</v>
      </c>
    </row>
    <row r="26" spans="1:27" x14ac:dyDescent="0.3">
      <c r="A26" s="3" t="s">
        <v>33</v>
      </c>
      <c r="B26" s="4">
        <v>2022</v>
      </c>
      <c r="C26" s="4" t="s">
        <v>46</v>
      </c>
      <c r="D26" s="4">
        <v>170.2</v>
      </c>
      <c r="E26" s="4">
        <v>212.9</v>
      </c>
      <c r="F26" s="4">
        <v>191.9</v>
      </c>
      <c r="G26" s="4">
        <v>173.9</v>
      </c>
      <c r="H26" s="4">
        <v>179.1</v>
      </c>
      <c r="I26" s="4">
        <v>159.5</v>
      </c>
      <c r="J26" s="4">
        <v>178.7</v>
      </c>
      <c r="K26" s="4">
        <v>171.3</v>
      </c>
      <c r="L26" s="4">
        <v>123.1</v>
      </c>
      <c r="M26" s="4">
        <v>200.5</v>
      </c>
      <c r="N26" s="4">
        <v>193.3</v>
      </c>
      <c r="O26" s="4">
        <v>178.6</v>
      </c>
      <c r="P26" s="24">
        <f t="shared" si="2"/>
        <v>-1.4892443463872128E-2</v>
      </c>
      <c r="R26" s="21" t="s">
        <v>33</v>
      </c>
      <c r="S26" s="21">
        <v>2023</v>
      </c>
      <c r="T26" s="21" t="s">
        <v>31</v>
      </c>
      <c r="U26" s="41">
        <v>5.0391937290033915E-3</v>
      </c>
      <c r="X26" s="21" t="s">
        <v>10</v>
      </c>
      <c r="Y26" s="44">
        <v>6.2575941676792299E-2</v>
      </c>
      <c r="Z26" s="44">
        <v>8.1295843520782465E-2</v>
      </c>
      <c r="AA26" s="44">
        <v>6.8776628119293873E-2</v>
      </c>
    </row>
    <row r="27" spans="1:27" x14ac:dyDescent="0.3">
      <c r="A27" s="5" t="s">
        <v>33</v>
      </c>
      <c r="B27" s="6">
        <v>2023</v>
      </c>
      <c r="C27" s="6" t="s">
        <v>31</v>
      </c>
      <c r="D27" s="6">
        <v>173.3</v>
      </c>
      <c r="E27" s="6">
        <v>215.2</v>
      </c>
      <c r="F27" s="6">
        <v>197</v>
      </c>
      <c r="G27" s="6">
        <v>175.2</v>
      </c>
      <c r="H27" s="6">
        <v>178</v>
      </c>
      <c r="I27" s="6">
        <v>160.5</v>
      </c>
      <c r="J27" s="6">
        <v>175.3</v>
      </c>
      <c r="K27" s="6">
        <v>171.2</v>
      </c>
      <c r="L27" s="6">
        <v>122.7</v>
      </c>
      <c r="M27" s="6">
        <v>204.3</v>
      </c>
      <c r="N27" s="6">
        <v>194.3</v>
      </c>
      <c r="O27" s="6">
        <v>179.5</v>
      </c>
      <c r="P27" s="25">
        <f t="shared" si="2"/>
        <v>5.0391937290033915E-3</v>
      </c>
      <c r="R27" s="21" t="s">
        <v>33</v>
      </c>
      <c r="S27" s="21">
        <v>2022</v>
      </c>
      <c r="T27" s="21" t="s">
        <v>40</v>
      </c>
      <c r="U27" s="41">
        <v>5.5772448410482047E-4</v>
      </c>
      <c r="X27" s="21" t="s">
        <v>11</v>
      </c>
      <c r="Y27" s="44">
        <v>2.350965575146945E-2</v>
      </c>
      <c r="Z27" s="44">
        <v>2.3064250411861591E-2</v>
      </c>
      <c r="AA27" s="44">
        <v>2.3352793994995805E-2</v>
      </c>
    </row>
    <row r="28" spans="1:27" x14ac:dyDescent="0.3">
      <c r="A28" s="3" t="s">
        <v>33</v>
      </c>
      <c r="B28" s="4">
        <v>2023</v>
      </c>
      <c r="C28" s="4" t="s">
        <v>35</v>
      </c>
      <c r="D28" s="4">
        <v>174.7</v>
      </c>
      <c r="E28" s="4">
        <v>212.2</v>
      </c>
      <c r="F28" s="4">
        <v>177.2</v>
      </c>
      <c r="G28" s="4">
        <v>177.9</v>
      </c>
      <c r="H28" s="4">
        <v>172.2</v>
      </c>
      <c r="I28" s="4">
        <v>172.1</v>
      </c>
      <c r="J28" s="4">
        <v>175.8</v>
      </c>
      <c r="K28" s="4">
        <v>172.2</v>
      </c>
      <c r="L28" s="4">
        <v>121.9</v>
      </c>
      <c r="M28" s="4">
        <v>204.8</v>
      </c>
      <c r="N28" s="4">
        <v>196.6</v>
      </c>
      <c r="O28" s="4">
        <v>180.7</v>
      </c>
      <c r="P28" s="24">
        <f t="shared" si="2"/>
        <v>6.6852367688021649E-3</v>
      </c>
      <c r="R28" s="21" t="s">
        <v>33</v>
      </c>
      <c r="S28" s="21">
        <v>2023</v>
      </c>
      <c r="T28" s="21" t="s">
        <v>36</v>
      </c>
      <c r="U28" s="41">
        <v>5.5340343110139867E-4</v>
      </c>
      <c r="X28" s="21" t="s">
        <v>12</v>
      </c>
      <c r="Y28" s="44">
        <v>0.16993118051879297</v>
      </c>
      <c r="Z28" s="44">
        <v>0.15476839237057224</v>
      </c>
      <c r="AA28" s="44">
        <v>0.16515232495991453</v>
      </c>
    </row>
    <row r="29" spans="1:27" x14ac:dyDescent="0.3">
      <c r="A29" s="5" t="s">
        <v>33</v>
      </c>
      <c r="B29" s="6">
        <v>2023</v>
      </c>
      <c r="C29" s="6" t="s">
        <v>36</v>
      </c>
      <c r="D29" s="6">
        <v>174.7</v>
      </c>
      <c r="E29" s="6">
        <v>212.2</v>
      </c>
      <c r="F29" s="6">
        <v>177.2</v>
      </c>
      <c r="G29" s="6">
        <v>177.9</v>
      </c>
      <c r="H29" s="6">
        <v>172.2</v>
      </c>
      <c r="I29" s="6">
        <v>172.1</v>
      </c>
      <c r="J29" s="6">
        <v>175.9</v>
      </c>
      <c r="K29" s="6">
        <v>172.2</v>
      </c>
      <c r="L29" s="6">
        <v>121.9</v>
      </c>
      <c r="M29" s="6">
        <v>204.8</v>
      </c>
      <c r="N29" s="6">
        <v>196.6</v>
      </c>
      <c r="O29" s="6">
        <v>180.8</v>
      </c>
      <c r="P29" s="25">
        <f t="shared" si="2"/>
        <v>5.5340343110139867E-4</v>
      </c>
      <c r="R29" s="21" t="s">
        <v>33</v>
      </c>
      <c r="S29" s="21">
        <v>2022</v>
      </c>
      <c r="T29" s="21" t="s">
        <v>45</v>
      </c>
      <c r="U29" s="41">
        <v>-1.0911074740861974E-2</v>
      </c>
      <c r="X29" s="21" t="s">
        <v>14</v>
      </c>
      <c r="Y29" s="44">
        <v>5.0577240241891086E-2</v>
      </c>
      <c r="Z29" s="44">
        <v>6.119162640901759E-2</v>
      </c>
      <c r="AA29" s="44">
        <v>5.6008700380641561E-2</v>
      </c>
    </row>
    <row r="30" spans="1:27" x14ac:dyDescent="0.3">
      <c r="A30" s="3" t="s">
        <v>33</v>
      </c>
      <c r="B30" s="4">
        <v>2023</v>
      </c>
      <c r="C30" s="4" t="s">
        <v>37</v>
      </c>
      <c r="D30" s="4">
        <v>174.8</v>
      </c>
      <c r="E30" s="4">
        <v>213.7</v>
      </c>
      <c r="F30" s="4">
        <v>172.4</v>
      </c>
      <c r="G30" s="4">
        <v>178.8</v>
      </c>
      <c r="H30" s="4">
        <v>168.7</v>
      </c>
      <c r="I30" s="4">
        <v>179.2</v>
      </c>
      <c r="J30" s="4">
        <v>179.9</v>
      </c>
      <c r="K30" s="4">
        <v>174.7</v>
      </c>
      <c r="L30" s="4">
        <v>123.1</v>
      </c>
      <c r="M30" s="4">
        <v>207.8</v>
      </c>
      <c r="N30" s="4">
        <v>197</v>
      </c>
      <c r="O30" s="4">
        <v>182.1</v>
      </c>
      <c r="P30" s="24">
        <f t="shared" si="2"/>
        <v>7.1902654867255691E-3</v>
      </c>
      <c r="R30" s="42" t="s">
        <v>33</v>
      </c>
      <c r="S30" s="42">
        <v>2022</v>
      </c>
      <c r="T30" s="42" t="s">
        <v>46</v>
      </c>
      <c r="U30" s="43">
        <v>-1.4892443463872128E-2</v>
      </c>
      <c r="X30" s="21" t="s">
        <v>15</v>
      </c>
      <c r="Y30" s="44">
        <v>2.5522041763341101E-2</v>
      </c>
      <c r="Z30" s="44">
        <v>2.1193530395984286E-2</v>
      </c>
      <c r="AA30" s="44">
        <v>2.4013722126929607E-2</v>
      </c>
    </row>
    <row r="31" spans="1:27" x14ac:dyDescent="0.3">
      <c r="A31" s="5" t="s">
        <v>33</v>
      </c>
      <c r="B31" s="6">
        <v>2023</v>
      </c>
      <c r="C31" s="6" t="s">
        <v>38</v>
      </c>
      <c r="D31" s="6">
        <v>174.7</v>
      </c>
      <c r="E31" s="6">
        <v>219.4</v>
      </c>
      <c r="F31" s="6">
        <v>176.7</v>
      </c>
      <c r="G31" s="6">
        <v>179.4</v>
      </c>
      <c r="H31" s="6">
        <v>164.4</v>
      </c>
      <c r="I31" s="6">
        <v>175.8</v>
      </c>
      <c r="J31" s="6">
        <v>185</v>
      </c>
      <c r="K31" s="6">
        <v>176.9</v>
      </c>
      <c r="L31" s="6">
        <v>124.2</v>
      </c>
      <c r="M31" s="6">
        <v>211.9</v>
      </c>
      <c r="N31" s="6">
        <v>197.7</v>
      </c>
      <c r="O31" s="6">
        <v>183.1</v>
      </c>
      <c r="P31" s="25">
        <f t="shared" si="2"/>
        <v>5.4914881933003845E-3</v>
      </c>
    </row>
    <row r="32" spans="1:27" x14ac:dyDescent="0.3">
      <c r="D32" s="28">
        <f>(D31-D20)/D20</f>
        <v>0.10920634920634914</v>
      </c>
      <c r="E32" s="28">
        <f t="shared" ref="E32:P32" si="3">(E31-E20)/E20</f>
        <v>-1.7905102954341987E-2</v>
      </c>
      <c r="F32" s="28">
        <f t="shared" si="3"/>
        <v>2.2569444444444312E-2</v>
      </c>
      <c r="G32" s="28">
        <f t="shared" si="3"/>
        <v>7.8125E-2</v>
      </c>
      <c r="H32" s="28">
        <f t="shared" si="3"/>
        <v>-0.12831389183457045</v>
      </c>
      <c r="I32" s="28">
        <f t="shared" si="3"/>
        <v>9.7645031591040623E-3</v>
      </c>
      <c r="J32" s="28">
        <f t="shared" si="3"/>
        <v>-0.12529550827423167</v>
      </c>
      <c r="K32" s="28">
        <f t="shared" si="3"/>
        <v>8.1295843520782465E-2</v>
      </c>
      <c r="L32" s="28">
        <f t="shared" si="3"/>
        <v>2.3064250411861591E-2</v>
      </c>
      <c r="M32" s="28">
        <f t="shared" si="3"/>
        <v>0.15476839237057224</v>
      </c>
      <c r="N32" s="28">
        <f t="shared" si="3"/>
        <v>6.119162640901759E-2</v>
      </c>
      <c r="O32" s="28">
        <f t="shared" si="3"/>
        <v>2.1193530395984286E-2</v>
      </c>
      <c r="P32" s="28">
        <f t="shared" si="3"/>
        <v>-0.45847824760510436</v>
      </c>
    </row>
    <row r="34" spans="1:21" x14ac:dyDescent="0.3">
      <c r="A34" s="1" t="s">
        <v>0</v>
      </c>
      <c r="B34" s="2" t="s">
        <v>1</v>
      </c>
      <c r="C34" s="2" t="s">
        <v>2</v>
      </c>
      <c r="D34" s="2" t="s">
        <v>3</v>
      </c>
      <c r="E34" s="2" t="s">
        <v>4</v>
      </c>
      <c r="F34" s="2" t="s">
        <v>5</v>
      </c>
      <c r="G34" s="2" t="s">
        <v>6</v>
      </c>
      <c r="H34" s="2" t="s">
        <v>7</v>
      </c>
      <c r="I34" s="2" t="s">
        <v>8</v>
      </c>
      <c r="J34" s="2" t="s">
        <v>9</v>
      </c>
      <c r="K34" s="2" t="s">
        <v>10</v>
      </c>
      <c r="L34" s="2" t="s">
        <v>11</v>
      </c>
      <c r="M34" s="2" t="s">
        <v>12</v>
      </c>
      <c r="N34" s="2" t="s">
        <v>14</v>
      </c>
      <c r="O34" s="2" t="s">
        <v>15</v>
      </c>
      <c r="P34" s="26" t="s">
        <v>72</v>
      </c>
      <c r="R34" s="45" t="s">
        <v>0</v>
      </c>
      <c r="S34" s="45" t="s">
        <v>1</v>
      </c>
      <c r="T34" s="45" t="s">
        <v>2</v>
      </c>
      <c r="U34" s="46" t="s">
        <v>72</v>
      </c>
    </row>
    <row r="35" spans="1:21" x14ac:dyDescent="0.3">
      <c r="A35" s="3" t="s">
        <v>34</v>
      </c>
      <c r="B35" s="4">
        <v>2022</v>
      </c>
      <c r="C35" s="4" t="s">
        <v>38</v>
      </c>
      <c r="D35" s="4">
        <v>154.1</v>
      </c>
      <c r="E35" s="4">
        <v>217</v>
      </c>
      <c r="F35" s="4">
        <v>162.4</v>
      </c>
      <c r="G35" s="4">
        <v>164.9</v>
      </c>
      <c r="H35" s="4">
        <v>202.4</v>
      </c>
      <c r="I35" s="4">
        <v>171</v>
      </c>
      <c r="J35" s="4">
        <v>174.9</v>
      </c>
      <c r="K35" s="4">
        <v>164.7</v>
      </c>
      <c r="L35" s="4">
        <v>119.7</v>
      </c>
      <c r="M35" s="4">
        <v>184.9</v>
      </c>
      <c r="N35" s="4">
        <v>182.5</v>
      </c>
      <c r="O35" s="4">
        <v>173.3</v>
      </c>
      <c r="P35" s="24"/>
      <c r="R35" s="21" t="s">
        <v>34</v>
      </c>
      <c r="S35" s="21">
        <v>2022</v>
      </c>
      <c r="T35" s="21" t="s">
        <v>43</v>
      </c>
      <c r="U35" s="41">
        <v>1.0123734533183255E-2</v>
      </c>
    </row>
    <row r="36" spans="1:21" x14ac:dyDescent="0.3">
      <c r="A36" s="5" t="s">
        <v>34</v>
      </c>
      <c r="B36" s="6">
        <v>2022</v>
      </c>
      <c r="C36" s="6" t="s">
        <v>39</v>
      </c>
      <c r="D36" s="6">
        <v>155</v>
      </c>
      <c r="E36" s="6">
        <v>219.4</v>
      </c>
      <c r="F36" s="6">
        <v>170.8</v>
      </c>
      <c r="G36" s="6">
        <v>165.8</v>
      </c>
      <c r="H36" s="6">
        <v>200.9</v>
      </c>
      <c r="I36" s="6">
        <v>169.7</v>
      </c>
      <c r="J36" s="6">
        <v>182.3</v>
      </c>
      <c r="K36" s="6">
        <v>164.3</v>
      </c>
      <c r="L36" s="6">
        <v>119.9</v>
      </c>
      <c r="M36" s="6">
        <v>187.1</v>
      </c>
      <c r="N36" s="6">
        <v>183.9</v>
      </c>
      <c r="O36" s="6">
        <v>174.9</v>
      </c>
      <c r="P36" s="25">
        <f t="shared" ref="P36:P47" si="4">(O36-O35)/O35</f>
        <v>9.2325447201384546E-3</v>
      </c>
      <c r="R36" s="21" t="s">
        <v>34</v>
      </c>
      <c r="S36" s="21">
        <v>2022</v>
      </c>
      <c r="T36" s="21" t="s">
        <v>39</v>
      </c>
      <c r="U36" s="41">
        <v>9.2325447201384546E-3</v>
      </c>
    </row>
    <row r="37" spans="1:21" x14ac:dyDescent="0.3">
      <c r="A37" s="3" t="s">
        <v>34</v>
      </c>
      <c r="B37" s="4">
        <v>2022</v>
      </c>
      <c r="C37" s="4" t="s">
        <v>40</v>
      </c>
      <c r="D37" s="4">
        <v>156.5</v>
      </c>
      <c r="E37" s="4">
        <v>213</v>
      </c>
      <c r="F37" s="4">
        <v>175.2</v>
      </c>
      <c r="G37" s="4">
        <v>166.6</v>
      </c>
      <c r="H37" s="4">
        <v>195.8</v>
      </c>
      <c r="I37" s="4">
        <v>174.2</v>
      </c>
      <c r="J37" s="4">
        <v>182.1</v>
      </c>
      <c r="K37" s="4">
        <v>164.3</v>
      </c>
      <c r="L37" s="4">
        <v>120</v>
      </c>
      <c r="M37" s="4">
        <v>190</v>
      </c>
      <c r="N37" s="4">
        <v>185.2</v>
      </c>
      <c r="O37" s="4">
        <v>175</v>
      </c>
      <c r="P37" s="24">
        <f t="shared" si="4"/>
        <v>5.7175528873638828E-4</v>
      </c>
      <c r="R37" s="42" t="s">
        <v>34</v>
      </c>
      <c r="S37" s="42">
        <v>2022</v>
      </c>
      <c r="T37" s="42" t="s">
        <v>42</v>
      </c>
      <c r="U37" s="43">
        <v>8.5082246171298923E-3</v>
      </c>
    </row>
    <row r="38" spans="1:21" x14ac:dyDescent="0.3">
      <c r="A38" s="5" t="s">
        <v>34</v>
      </c>
      <c r="B38" s="6">
        <v>2022</v>
      </c>
      <c r="C38" s="6" t="s">
        <v>41</v>
      </c>
      <c r="D38" s="6">
        <v>160.30000000000001</v>
      </c>
      <c r="E38" s="6">
        <v>206.5</v>
      </c>
      <c r="F38" s="6">
        <v>169.2</v>
      </c>
      <c r="G38" s="6">
        <v>168.1</v>
      </c>
      <c r="H38" s="6">
        <v>192.4</v>
      </c>
      <c r="I38" s="6">
        <v>172.9</v>
      </c>
      <c r="J38" s="6">
        <v>186.7</v>
      </c>
      <c r="K38" s="6">
        <v>167.2</v>
      </c>
      <c r="L38" s="6">
        <v>120.9</v>
      </c>
      <c r="M38" s="6">
        <v>193.6</v>
      </c>
      <c r="N38" s="6">
        <v>186.3</v>
      </c>
      <c r="O38" s="6">
        <v>176.3</v>
      </c>
      <c r="P38" s="25">
        <f t="shared" si="4"/>
        <v>7.4285714285714935E-3</v>
      </c>
      <c r="R38" s="21" t="s">
        <v>34</v>
      </c>
      <c r="S38" s="21">
        <v>2022</v>
      </c>
      <c r="T38" s="21" t="s">
        <v>41</v>
      </c>
      <c r="U38" s="41">
        <v>7.4285714285714935E-3</v>
      </c>
    </row>
    <row r="39" spans="1:21" x14ac:dyDescent="0.3">
      <c r="A39" s="3" t="s">
        <v>34</v>
      </c>
      <c r="B39" s="4">
        <v>2022</v>
      </c>
      <c r="C39" s="4" t="s">
        <v>42</v>
      </c>
      <c r="D39" s="4">
        <v>163.5</v>
      </c>
      <c r="E39" s="4">
        <v>209.2</v>
      </c>
      <c r="F39" s="4">
        <v>169.7</v>
      </c>
      <c r="G39" s="4">
        <v>169.7</v>
      </c>
      <c r="H39" s="4">
        <v>188.7</v>
      </c>
      <c r="I39" s="4">
        <v>165.7</v>
      </c>
      <c r="J39" s="4">
        <v>191.8</v>
      </c>
      <c r="K39" s="4">
        <v>169.1</v>
      </c>
      <c r="L39" s="4">
        <v>121.6</v>
      </c>
      <c r="M39" s="4">
        <v>197.3</v>
      </c>
      <c r="N39" s="4">
        <v>187.4</v>
      </c>
      <c r="O39" s="4">
        <v>177.8</v>
      </c>
      <c r="P39" s="24">
        <f t="shared" si="4"/>
        <v>8.5082246171298923E-3</v>
      </c>
      <c r="R39" s="42" t="s">
        <v>34</v>
      </c>
      <c r="S39" s="42">
        <v>2023</v>
      </c>
      <c r="T39" s="42" t="s">
        <v>38</v>
      </c>
      <c r="U39" s="43">
        <v>6.7453625632377095E-3</v>
      </c>
    </row>
    <row r="40" spans="1:21" x14ac:dyDescent="0.3">
      <c r="A40" s="5" t="s">
        <v>34</v>
      </c>
      <c r="B40" s="6">
        <v>2022</v>
      </c>
      <c r="C40" s="6" t="s">
        <v>43</v>
      </c>
      <c r="D40" s="6">
        <v>165.2</v>
      </c>
      <c r="E40" s="6">
        <v>210.9</v>
      </c>
      <c r="F40" s="6">
        <v>170.9</v>
      </c>
      <c r="G40" s="6">
        <v>170.9</v>
      </c>
      <c r="H40" s="6">
        <v>186.5</v>
      </c>
      <c r="I40" s="6">
        <v>163.80000000000001</v>
      </c>
      <c r="J40" s="6">
        <v>199.7</v>
      </c>
      <c r="K40" s="6">
        <v>169.8</v>
      </c>
      <c r="L40" s="6">
        <v>121.9</v>
      </c>
      <c r="M40" s="6">
        <v>199.9</v>
      </c>
      <c r="N40" s="6">
        <v>188.3</v>
      </c>
      <c r="O40" s="6">
        <v>179.6</v>
      </c>
      <c r="P40" s="25">
        <f t="shared" si="4"/>
        <v>1.0123734533183255E-2</v>
      </c>
      <c r="R40" s="21" t="s">
        <v>34</v>
      </c>
      <c r="S40" s="21">
        <v>2023</v>
      </c>
      <c r="T40" s="21" t="s">
        <v>37</v>
      </c>
      <c r="U40" s="41">
        <v>5.0847457627118961E-3</v>
      </c>
    </row>
    <row r="41" spans="1:21" x14ac:dyDescent="0.3">
      <c r="A41" s="3" t="s">
        <v>34</v>
      </c>
      <c r="B41" s="4">
        <v>2022</v>
      </c>
      <c r="C41" s="4" t="s">
        <v>45</v>
      </c>
      <c r="D41" s="4">
        <v>167.4</v>
      </c>
      <c r="E41" s="4">
        <v>209.4</v>
      </c>
      <c r="F41" s="4">
        <v>181.4</v>
      </c>
      <c r="G41" s="4">
        <v>172.3</v>
      </c>
      <c r="H41" s="4">
        <v>188.9</v>
      </c>
      <c r="I41" s="4">
        <v>160.69999999999999</v>
      </c>
      <c r="J41" s="4">
        <v>183.1</v>
      </c>
      <c r="K41" s="4">
        <v>170.5</v>
      </c>
      <c r="L41" s="4">
        <v>122.1</v>
      </c>
      <c r="M41" s="4">
        <v>202.8</v>
      </c>
      <c r="N41" s="4">
        <v>189.5</v>
      </c>
      <c r="O41" s="4">
        <v>178.3</v>
      </c>
      <c r="P41" s="24">
        <f t="shared" si="4"/>
        <v>-7.2383073496658295E-3</v>
      </c>
      <c r="R41" s="42" t="s">
        <v>34</v>
      </c>
      <c r="S41" s="42">
        <v>2023</v>
      </c>
      <c r="T41" s="42" t="s">
        <v>31</v>
      </c>
      <c r="U41" s="43">
        <v>4.5480386583284984E-3</v>
      </c>
    </row>
    <row r="42" spans="1:21" x14ac:dyDescent="0.3">
      <c r="A42" s="5" t="s">
        <v>34</v>
      </c>
      <c r="B42" s="6">
        <v>2022</v>
      </c>
      <c r="C42" s="6" t="s">
        <v>46</v>
      </c>
      <c r="D42" s="6">
        <v>169.2</v>
      </c>
      <c r="E42" s="6">
        <v>209</v>
      </c>
      <c r="F42" s="6">
        <v>190.2</v>
      </c>
      <c r="G42" s="6">
        <v>173.6</v>
      </c>
      <c r="H42" s="6">
        <v>188.5</v>
      </c>
      <c r="I42" s="6">
        <v>158</v>
      </c>
      <c r="J42" s="6">
        <v>159.9</v>
      </c>
      <c r="K42" s="6">
        <v>170.8</v>
      </c>
      <c r="L42" s="6">
        <v>121.8</v>
      </c>
      <c r="M42" s="6">
        <v>205.2</v>
      </c>
      <c r="N42" s="6">
        <v>190.3</v>
      </c>
      <c r="O42" s="6">
        <v>175.9</v>
      </c>
      <c r="P42" s="25">
        <f t="shared" si="4"/>
        <v>-1.3460459899046581E-2</v>
      </c>
      <c r="R42" s="21" t="s">
        <v>34</v>
      </c>
      <c r="S42" s="21">
        <v>2023</v>
      </c>
      <c r="T42" s="21" t="s">
        <v>35</v>
      </c>
      <c r="U42" s="41">
        <v>1.6977928692700134E-3</v>
      </c>
    </row>
    <row r="43" spans="1:21" x14ac:dyDescent="0.3">
      <c r="A43" s="3" t="s">
        <v>34</v>
      </c>
      <c r="B43" s="4">
        <v>2023</v>
      </c>
      <c r="C43" s="4" t="s">
        <v>31</v>
      </c>
      <c r="D43" s="4">
        <v>173.8</v>
      </c>
      <c r="E43" s="4">
        <v>210.7</v>
      </c>
      <c r="F43" s="4">
        <v>194.5</v>
      </c>
      <c r="G43" s="4">
        <v>174.6</v>
      </c>
      <c r="H43" s="4">
        <v>187.2</v>
      </c>
      <c r="I43" s="4">
        <v>158.30000000000001</v>
      </c>
      <c r="J43" s="4">
        <v>153.9</v>
      </c>
      <c r="K43" s="4">
        <v>170.9</v>
      </c>
      <c r="L43" s="4">
        <v>121.1</v>
      </c>
      <c r="M43" s="4">
        <v>208.4</v>
      </c>
      <c r="N43" s="4">
        <v>191.2</v>
      </c>
      <c r="O43" s="4">
        <v>176.7</v>
      </c>
      <c r="P43" s="24">
        <f t="shared" si="4"/>
        <v>4.5480386583284984E-3</v>
      </c>
      <c r="R43" s="42" t="s">
        <v>34</v>
      </c>
      <c r="S43" s="42">
        <v>2022</v>
      </c>
      <c r="T43" s="42" t="s">
        <v>40</v>
      </c>
      <c r="U43" s="43">
        <v>5.7175528873638828E-4</v>
      </c>
    </row>
    <row r="44" spans="1:21" x14ac:dyDescent="0.3">
      <c r="A44" s="5" t="s">
        <v>34</v>
      </c>
      <c r="B44" s="6">
        <v>2023</v>
      </c>
      <c r="C44" s="6" t="s">
        <v>35</v>
      </c>
      <c r="D44" s="6">
        <v>174.4</v>
      </c>
      <c r="E44" s="6">
        <v>207.7</v>
      </c>
      <c r="F44" s="6">
        <v>175.2</v>
      </c>
      <c r="G44" s="6">
        <v>177.3</v>
      </c>
      <c r="H44" s="6">
        <v>179.3</v>
      </c>
      <c r="I44" s="6">
        <v>169.5</v>
      </c>
      <c r="J44" s="6">
        <v>152.69999999999999</v>
      </c>
      <c r="K44" s="6">
        <v>171</v>
      </c>
      <c r="L44" s="6">
        <v>120</v>
      </c>
      <c r="M44" s="6">
        <v>209.7</v>
      </c>
      <c r="N44" s="6">
        <v>193</v>
      </c>
      <c r="O44" s="6">
        <v>177</v>
      </c>
      <c r="P44" s="25">
        <f t="shared" si="4"/>
        <v>1.6977928692700134E-3</v>
      </c>
      <c r="R44" s="42" t="s">
        <v>34</v>
      </c>
      <c r="S44" s="42">
        <v>2023</v>
      </c>
      <c r="T44" s="42" t="s">
        <v>36</v>
      </c>
      <c r="U44" s="43">
        <v>0</v>
      </c>
    </row>
    <row r="45" spans="1:21" x14ac:dyDescent="0.3">
      <c r="A45" s="3" t="s">
        <v>34</v>
      </c>
      <c r="B45" s="4">
        <v>2023</v>
      </c>
      <c r="C45" s="4" t="s">
        <v>36</v>
      </c>
      <c r="D45" s="4">
        <v>174.4</v>
      </c>
      <c r="E45" s="4">
        <v>207.7</v>
      </c>
      <c r="F45" s="4">
        <v>175.2</v>
      </c>
      <c r="G45" s="4">
        <v>177.3</v>
      </c>
      <c r="H45" s="4">
        <v>179.2</v>
      </c>
      <c r="I45" s="4">
        <v>169.5</v>
      </c>
      <c r="J45" s="4">
        <v>152.80000000000001</v>
      </c>
      <c r="K45" s="4">
        <v>171.1</v>
      </c>
      <c r="L45" s="4">
        <v>120</v>
      </c>
      <c r="M45" s="4">
        <v>209.7</v>
      </c>
      <c r="N45" s="4">
        <v>193</v>
      </c>
      <c r="O45" s="4">
        <v>177</v>
      </c>
      <c r="P45" s="24">
        <f t="shared" si="4"/>
        <v>0</v>
      </c>
      <c r="R45" s="42" t="s">
        <v>34</v>
      </c>
      <c r="S45" s="42">
        <v>2022</v>
      </c>
      <c r="T45" s="42" t="s">
        <v>45</v>
      </c>
      <c r="U45" s="43">
        <v>-7.2383073496658295E-3</v>
      </c>
    </row>
    <row r="46" spans="1:21" x14ac:dyDescent="0.3">
      <c r="A46" s="5" t="s">
        <v>34</v>
      </c>
      <c r="B46" s="6">
        <v>2023</v>
      </c>
      <c r="C46" s="6" t="s">
        <v>37</v>
      </c>
      <c r="D46" s="6">
        <v>173.8</v>
      </c>
      <c r="E46" s="6">
        <v>209.3</v>
      </c>
      <c r="F46" s="6">
        <v>169.6</v>
      </c>
      <c r="G46" s="6">
        <v>178.4</v>
      </c>
      <c r="H46" s="6">
        <v>174.9</v>
      </c>
      <c r="I46" s="6">
        <v>176.3</v>
      </c>
      <c r="J46" s="6">
        <v>155.4</v>
      </c>
      <c r="K46" s="6">
        <v>173.4</v>
      </c>
      <c r="L46" s="6">
        <v>121.3</v>
      </c>
      <c r="M46" s="6">
        <v>212.9</v>
      </c>
      <c r="N46" s="6">
        <v>193.5</v>
      </c>
      <c r="O46" s="6">
        <v>177.9</v>
      </c>
      <c r="P46" s="25">
        <f t="shared" si="4"/>
        <v>5.0847457627118961E-3</v>
      </c>
      <c r="R46" s="21" t="s">
        <v>34</v>
      </c>
      <c r="S46" s="21">
        <v>2022</v>
      </c>
      <c r="T46" s="21" t="s">
        <v>46</v>
      </c>
      <c r="U46" s="41">
        <v>-1.3460459899046581E-2</v>
      </c>
    </row>
    <row r="47" spans="1:21" x14ac:dyDescent="0.3">
      <c r="A47" s="3" t="s">
        <v>34</v>
      </c>
      <c r="B47" s="4">
        <v>2023</v>
      </c>
      <c r="C47" s="4" t="s">
        <v>38</v>
      </c>
      <c r="D47" s="4">
        <v>173.7</v>
      </c>
      <c r="E47" s="4">
        <v>214.3</v>
      </c>
      <c r="F47" s="4">
        <v>173.2</v>
      </c>
      <c r="G47" s="4">
        <v>179.5</v>
      </c>
      <c r="H47" s="4">
        <v>170</v>
      </c>
      <c r="I47" s="4">
        <v>172.2</v>
      </c>
      <c r="J47" s="4">
        <v>161</v>
      </c>
      <c r="K47" s="4">
        <v>175.6</v>
      </c>
      <c r="L47" s="4">
        <v>122.7</v>
      </c>
      <c r="M47" s="4">
        <v>218</v>
      </c>
      <c r="N47" s="4">
        <v>194.2</v>
      </c>
      <c r="O47" s="4">
        <v>179.1</v>
      </c>
      <c r="P47" s="24">
        <f t="shared" si="4"/>
        <v>6.7453625632377095E-3</v>
      </c>
    </row>
    <row r="48" spans="1:21" x14ac:dyDescent="0.3">
      <c r="D48" s="28">
        <f>(D47-D36)/D36</f>
        <v>0.1206451612903225</v>
      </c>
      <c r="E48" s="28">
        <f t="shared" ref="E48" si="5">(E47-E36)/E36</f>
        <v>-2.3245214220601614E-2</v>
      </c>
      <c r="F48" s="28">
        <f t="shared" ref="F48" si="6">(F47-F36)/F36</f>
        <v>1.4051522248243426E-2</v>
      </c>
      <c r="G48" s="28">
        <f t="shared" ref="G48" si="7">(G47-G36)/G36</f>
        <v>8.2629674306393175E-2</v>
      </c>
      <c r="H48" s="28">
        <f t="shared" ref="H48" si="8">(H47-H36)/H36</f>
        <v>-0.15380786460925835</v>
      </c>
      <c r="I48" s="28">
        <f t="shared" ref="I48" si="9">(I47-I36)/I36</f>
        <v>1.4731879787860933E-2</v>
      </c>
      <c r="J48" s="28">
        <f t="shared" ref="J48" si="10">(J47-J36)/J36</f>
        <v>-0.11684037301151953</v>
      </c>
      <c r="K48" s="28">
        <f t="shared" ref="K48" si="11">(K47-K36)/K36</f>
        <v>6.8776628119293873E-2</v>
      </c>
      <c r="L48" s="28">
        <f t="shared" ref="L48" si="12">(L47-L36)/L36</f>
        <v>2.3352793994995805E-2</v>
      </c>
      <c r="M48" s="28">
        <f t="shared" ref="M48" si="13">(M47-M36)/M36</f>
        <v>0.16515232495991453</v>
      </c>
      <c r="N48" s="28">
        <f t="shared" ref="N48" si="14">(N47-N36)/N36</f>
        <v>5.6008700380641561E-2</v>
      </c>
      <c r="O48" s="28">
        <f t="shared" ref="O48" si="15">(O47-O36)/O36</f>
        <v>2.4013722126929607E-2</v>
      </c>
      <c r="P48" s="28">
        <f t="shared" ref="P48" si="16">(P47-P36)/P36</f>
        <v>-0.26939291736931292</v>
      </c>
    </row>
  </sheetData>
  <phoneticPr fontId="18" type="noConversion"/>
  <conditionalFormatting sqref="U19:U30">
    <cfRule type="colorScale" priority="3">
      <colorScale>
        <cfvo type="min"/>
        <cfvo type="percentile" val="50"/>
        <cfvo type="max"/>
        <color rgb="FFF8696B"/>
        <color rgb="FFFFEB84"/>
        <color rgb="FF63BE7B"/>
      </colorScale>
    </cfRule>
  </conditionalFormatting>
  <conditionalFormatting sqref="U35:U46">
    <cfRule type="colorScale" priority="2">
      <colorScale>
        <cfvo type="min"/>
        <cfvo type="percentile" val="50"/>
        <cfvo type="max"/>
        <color rgb="FFF8696B"/>
        <color rgb="FFFFEB84"/>
        <color rgb="FF63BE7B"/>
      </colorScale>
    </cfRule>
  </conditionalFormatting>
  <conditionalFormatting sqref="U2:U13">
    <cfRule type="colorScale" priority="1">
      <colorScale>
        <cfvo type="min"/>
        <cfvo type="percentile" val="50"/>
        <cfvo type="max"/>
        <color rgb="FFF8696B"/>
        <color rgb="FFFFEB84"/>
        <color rgb="FF63BE7B"/>
      </colorScale>
    </cfRule>
  </conditionalFormatting>
  <pageMargins left="0.7" right="0.7" top="0.75" bottom="0.75" header="0.3" footer="0.3"/>
  <drawing r:id="rId1"/>
  <tableParts count="4">
    <tablePart r:id="rId2"/>
    <tablePart r:id="rId3"/>
    <tablePart r:id="rId4"/>
    <tablePart r:id="rId5"/>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86C860-CA8B-4314-A184-52DA8D7F8591}">
  <dimension ref="A1:AF214"/>
  <sheetViews>
    <sheetView topLeftCell="L1" workbookViewId="0">
      <selection activeCell="AD17" sqref="AD17"/>
    </sheetView>
  </sheetViews>
  <sheetFormatPr defaultRowHeight="14.4" x14ac:dyDescent="0.3"/>
  <cols>
    <col min="8" max="8" width="13.5546875" bestFit="1" customWidth="1"/>
    <col min="9" max="9" width="6.88671875" bestFit="1" customWidth="1"/>
    <col min="10" max="10" width="14.88671875" bestFit="1" customWidth="1"/>
    <col min="11" max="11" width="16.109375" bestFit="1" customWidth="1"/>
    <col min="12" max="12" width="26.109375" bestFit="1" customWidth="1"/>
    <col min="19" max="19" width="11.21875" bestFit="1" customWidth="1"/>
    <col min="20" max="20" width="16.33203125" bestFit="1" customWidth="1"/>
  </cols>
  <sheetData>
    <row r="1" spans="1:20" x14ac:dyDescent="0.3">
      <c r="A1" s="1" t="s">
        <v>0</v>
      </c>
      <c r="B1" s="1" t="s">
        <v>1</v>
      </c>
      <c r="C1" s="1" t="s">
        <v>2</v>
      </c>
      <c r="D1" s="1" t="s">
        <v>51</v>
      </c>
      <c r="E1" s="1" t="s">
        <v>23</v>
      </c>
      <c r="F1" s="1" t="s">
        <v>92</v>
      </c>
    </row>
    <row r="2" spans="1:20" x14ac:dyDescent="0.3">
      <c r="A2" s="49" t="s">
        <v>30</v>
      </c>
      <c r="B2" s="49">
        <v>2017</v>
      </c>
      <c r="C2" s="49" t="s">
        <v>31</v>
      </c>
      <c r="D2" s="49">
        <v>1608.3000000000002</v>
      </c>
      <c r="E2" s="49">
        <v>129.9</v>
      </c>
      <c r="F2" s="49">
        <v>519</v>
      </c>
    </row>
    <row r="3" spans="1:20" x14ac:dyDescent="0.3">
      <c r="A3" s="50" t="s">
        <v>33</v>
      </c>
      <c r="B3" s="50">
        <v>2017</v>
      </c>
      <c r="C3" s="50" t="s">
        <v>31</v>
      </c>
      <c r="D3" s="50">
        <v>1590</v>
      </c>
      <c r="E3" s="50">
        <v>122.6</v>
      </c>
      <c r="F3" s="50">
        <v>620.29999999999995</v>
      </c>
      <c r="H3" s="20" t="s">
        <v>0</v>
      </c>
      <c r="I3" s="20" t="s">
        <v>1</v>
      </c>
      <c r="J3" t="s">
        <v>90</v>
      </c>
      <c r="K3" t="s">
        <v>91</v>
      </c>
      <c r="L3" t="s">
        <v>93</v>
      </c>
      <c r="N3" s="21" t="s">
        <v>0</v>
      </c>
      <c r="O3" s="21" t="s">
        <v>49</v>
      </c>
      <c r="P3" s="21" t="s">
        <v>100</v>
      </c>
      <c r="Q3" s="21" t="s">
        <v>101</v>
      </c>
      <c r="R3" s="21" t="s">
        <v>102</v>
      </c>
      <c r="S3" s="21" t="s">
        <v>103</v>
      </c>
      <c r="T3" s="21" t="s">
        <v>104</v>
      </c>
    </row>
    <row r="4" spans="1:20" x14ac:dyDescent="0.3">
      <c r="A4" s="49" t="s">
        <v>34</v>
      </c>
      <c r="B4" s="49">
        <v>2017</v>
      </c>
      <c r="C4" s="49" t="s">
        <v>31</v>
      </c>
      <c r="D4" s="49">
        <v>1600.6999999999996</v>
      </c>
      <c r="E4" s="49">
        <v>127.1</v>
      </c>
      <c r="F4" s="49">
        <v>636.09999999999991</v>
      </c>
      <c r="H4" t="s">
        <v>30</v>
      </c>
      <c r="I4">
        <v>2017</v>
      </c>
      <c r="J4" s="51">
        <v>1633.075</v>
      </c>
      <c r="K4" s="51">
        <v>132.40833333333333</v>
      </c>
      <c r="L4" s="51">
        <v>530.45000000000005</v>
      </c>
      <c r="N4" s="21" t="s">
        <v>30</v>
      </c>
      <c r="O4" s="21" t="s">
        <v>97</v>
      </c>
      <c r="P4" s="44">
        <v>1.4925830105782037E-2</v>
      </c>
      <c r="Q4" s="44">
        <v>1.9084628906946385E-2</v>
      </c>
      <c r="R4" s="44">
        <v>-2.0345462928577144E-2</v>
      </c>
      <c r="S4" s="44">
        <v>0.17426447629503586</v>
      </c>
      <c r="T4" s="44">
        <v>5.9514772546950666E-2</v>
      </c>
    </row>
    <row r="5" spans="1:20" x14ac:dyDescent="0.3">
      <c r="A5" s="50" t="s">
        <v>30</v>
      </c>
      <c r="B5" s="50">
        <v>2017</v>
      </c>
      <c r="C5" s="50" t="s">
        <v>35</v>
      </c>
      <c r="D5" s="50">
        <v>1605.1000000000001</v>
      </c>
      <c r="E5" s="50">
        <v>130.1</v>
      </c>
      <c r="F5" s="50">
        <v>521.19999999999993</v>
      </c>
      <c r="I5">
        <v>2018</v>
      </c>
      <c r="J5" s="51">
        <v>1657.45</v>
      </c>
      <c r="K5" s="51">
        <v>140.125</v>
      </c>
      <c r="L5" s="51">
        <v>562.61666666666667</v>
      </c>
      <c r="N5" s="21" t="s">
        <v>30</v>
      </c>
      <c r="O5" s="21" t="s">
        <v>98</v>
      </c>
      <c r="P5" s="44">
        <v>5.8279312732078814E-2</v>
      </c>
      <c r="Q5" s="44">
        <v>8.6043305490228122E-2</v>
      </c>
      <c r="R5" s="44">
        <v>3.8649940262843067E-2</v>
      </c>
      <c r="S5" s="44">
        <v>6.9611395487050073E-2</v>
      </c>
      <c r="T5" s="44">
        <v>5.6930205047318605E-2</v>
      </c>
    </row>
    <row r="6" spans="1:20" x14ac:dyDescent="0.3">
      <c r="A6" s="49" t="s">
        <v>33</v>
      </c>
      <c r="B6" s="49">
        <v>2017</v>
      </c>
      <c r="C6" s="49" t="s">
        <v>35</v>
      </c>
      <c r="D6" s="49">
        <v>1581.9</v>
      </c>
      <c r="E6" s="49">
        <v>122.9</v>
      </c>
      <c r="F6" s="49">
        <v>622.9</v>
      </c>
      <c r="I6">
        <v>2019</v>
      </c>
      <c r="J6" s="51">
        <v>1689.0818181818183</v>
      </c>
      <c r="K6" s="51">
        <v>152.18181818181822</v>
      </c>
      <c r="L6" s="51">
        <v>586.77272727272714</v>
      </c>
      <c r="N6" s="21" t="s">
        <v>30</v>
      </c>
      <c r="O6" s="21" t="s">
        <v>99</v>
      </c>
      <c r="P6" s="44">
        <v>6.0640336820938764E-2</v>
      </c>
      <c r="Q6" s="44">
        <v>4.2935202665035595E-2</v>
      </c>
      <c r="R6" s="44">
        <v>-0.12135202830066869</v>
      </c>
      <c r="S6" s="44">
        <v>0.24376091032520866</v>
      </c>
      <c r="T6" s="44">
        <v>6.9214674654641373E-2</v>
      </c>
    </row>
    <row r="7" spans="1:20" x14ac:dyDescent="0.3">
      <c r="A7" s="50" t="s">
        <v>34</v>
      </c>
      <c r="B7" s="50">
        <v>2017</v>
      </c>
      <c r="C7" s="50" t="s">
        <v>35</v>
      </c>
      <c r="D7" s="50">
        <v>1595.4</v>
      </c>
      <c r="E7" s="50">
        <v>127.4</v>
      </c>
      <c r="F7" s="50">
        <v>638.9</v>
      </c>
      <c r="I7">
        <v>2020</v>
      </c>
      <c r="J7" s="51">
        <v>1654.7166666666665</v>
      </c>
      <c r="K7" s="51">
        <v>158.06363636363633</v>
      </c>
      <c r="L7" s="51">
        <v>515.56666666666661</v>
      </c>
      <c r="N7" s="21" t="s">
        <v>34</v>
      </c>
      <c r="O7" s="21" t="s">
        <v>97</v>
      </c>
      <c r="P7" s="44">
        <v>9.9840603553875956E-3</v>
      </c>
      <c r="Q7" s="44">
        <v>3.4342737223600164E-2</v>
      </c>
      <c r="R7" s="44">
        <v>-1.8194614672368537E-2</v>
      </c>
      <c r="S7" s="44">
        <v>0.17542150131422465</v>
      </c>
      <c r="T7" s="44">
        <v>5.8791019585670061E-2</v>
      </c>
    </row>
    <row r="8" spans="1:20" x14ac:dyDescent="0.3">
      <c r="A8" s="49" t="s">
        <v>30</v>
      </c>
      <c r="B8" s="49">
        <v>2017</v>
      </c>
      <c r="C8" s="49" t="s">
        <v>36</v>
      </c>
      <c r="D8" s="49">
        <v>1598.7000000000003</v>
      </c>
      <c r="E8" s="49">
        <v>130.6</v>
      </c>
      <c r="F8" s="49">
        <v>523.29999999999995</v>
      </c>
      <c r="I8">
        <v>2021</v>
      </c>
      <c r="J8" s="51">
        <v>1943.0750000000005</v>
      </c>
      <c r="K8" s="51">
        <v>169.06666666666669</v>
      </c>
      <c r="L8" s="51">
        <v>641.24166666666667</v>
      </c>
      <c r="N8" s="21" t="s">
        <v>34</v>
      </c>
      <c r="O8" s="21" t="s">
        <v>98</v>
      </c>
      <c r="P8" s="44">
        <v>6.2077838533290831E-2</v>
      </c>
      <c r="Q8" s="44">
        <v>7.4588403722262109E-2</v>
      </c>
      <c r="R8" s="44">
        <v>4.3534403246633074E-2</v>
      </c>
      <c r="S8" s="44">
        <v>7.4926835975094988E-2</v>
      </c>
      <c r="T8" s="44">
        <v>6.0800964775639302E-2</v>
      </c>
    </row>
    <row r="9" spans="1:20" x14ac:dyDescent="0.3">
      <c r="A9" s="50" t="s">
        <v>33</v>
      </c>
      <c r="B9" s="50">
        <v>2017</v>
      </c>
      <c r="C9" s="50" t="s">
        <v>36</v>
      </c>
      <c r="D9" s="50">
        <v>1582.1</v>
      </c>
      <c r="E9" s="50">
        <v>123.1</v>
      </c>
      <c r="F9" s="50">
        <v>625.90000000000009</v>
      </c>
      <c r="I9">
        <v>2022</v>
      </c>
      <c r="J9" s="51">
        <v>2058.7166666666667</v>
      </c>
      <c r="K9" s="51">
        <v>178.69166666666669</v>
      </c>
      <c r="L9" s="51">
        <v>685.625</v>
      </c>
      <c r="N9" s="21" t="s">
        <v>34</v>
      </c>
      <c r="O9" s="21" t="s">
        <v>99</v>
      </c>
      <c r="P9" s="44">
        <v>6.1327413186869663E-2</v>
      </c>
      <c r="Q9" s="44">
        <v>3.6261411039235844E-2</v>
      </c>
      <c r="R9" s="44">
        <v>-0.10041538317931489</v>
      </c>
      <c r="S9" s="44">
        <v>0.22710057329632427</v>
      </c>
      <c r="T9" s="44">
        <v>6.649613664950775E-2</v>
      </c>
    </row>
    <row r="10" spans="1:20" x14ac:dyDescent="0.3">
      <c r="A10" s="49" t="s">
        <v>34</v>
      </c>
      <c r="B10" s="49">
        <v>2017</v>
      </c>
      <c r="C10" s="49" t="s">
        <v>36</v>
      </c>
      <c r="D10" s="49">
        <v>1591.7</v>
      </c>
      <c r="E10" s="49">
        <v>127.8</v>
      </c>
      <c r="F10" s="49">
        <v>641.70000000000005</v>
      </c>
      <c r="H10" t="s">
        <v>34</v>
      </c>
      <c r="I10">
        <v>2017</v>
      </c>
      <c r="J10" s="51">
        <v>1625.925</v>
      </c>
      <c r="K10" s="51">
        <v>129.54166666666663</v>
      </c>
      <c r="L10" s="51">
        <v>649.38333333333333</v>
      </c>
      <c r="N10" s="21" t="s">
        <v>33</v>
      </c>
      <c r="O10" s="21" t="s">
        <v>97</v>
      </c>
      <c r="P10" s="44">
        <v>1.1339270987949442E-4</v>
      </c>
      <c r="Q10" s="44">
        <v>6.106676386724625E-2</v>
      </c>
      <c r="R10" s="44">
        <v>-1.4868683657429611E-2</v>
      </c>
      <c r="S10" s="44">
        <v>0.177048307416209</v>
      </c>
      <c r="T10" s="44">
        <v>5.79636083372429E-2</v>
      </c>
    </row>
    <row r="11" spans="1:20" x14ac:dyDescent="0.3">
      <c r="A11" s="50" t="s">
        <v>30</v>
      </c>
      <c r="B11" s="50">
        <v>2017</v>
      </c>
      <c r="C11" s="50" t="s">
        <v>37</v>
      </c>
      <c r="D11" s="50">
        <v>1596.3</v>
      </c>
      <c r="E11" s="50">
        <v>131</v>
      </c>
      <c r="F11" s="50">
        <v>524.20000000000005</v>
      </c>
      <c r="I11">
        <v>2018</v>
      </c>
      <c r="J11" s="51">
        <v>1642.1583333333335</v>
      </c>
      <c r="K11" s="51">
        <v>137.58333333333334</v>
      </c>
      <c r="L11" s="51">
        <v>689.20833333333337</v>
      </c>
      <c r="N11" s="21" t="s">
        <v>33</v>
      </c>
      <c r="O11" s="21" t="s">
        <v>98</v>
      </c>
      <c r="P11" s="44">
        <v>6.7605445808862755E-2</v>
      </c>
      <c r="Q11" s="44">
        <v>5.5788869503941081E-2</v>
      </c>
      <c r="R11" s="44">
        <v>5.2060457305257823E-2</v>
      </c>
      <c r="S11" s="44">
        <v>8.387053863785171E-2</v>
      </c>
      <c r="T11" s="44">
        <v>6.8227841528635896E-2</v>
      </c>
    </row>
    <row r="12" spans="1:20" x14ac:dyDescent="0.3">
      <c r="A12" s="49" t="s">
        <v>33</v>
      </c>
      <c r="B12" s="49">
        <v>2017</v>
      </c>
      <c r="C12" s="49" t="s">
        <v>37</v>
      </c>
      <c r="D12" s="49">
        <v>1584.3</v>
      </c>
      <c r="E12" s="49">
        <v>123.4</v>
      </c>
      <c r="F12" s="49">
        <v>627</v>
      </c>
      <c r="I12">
        <v>2019</v>
      </c>
      <c r="J12" s="51">
        <v>1698.5545454545454</v>
      </c>
      <c r="K12" s="51">
        <v>147.84545454545457</v>
      </c>
      <c r="L12" s="51">
        <v>714.2</v>
      </c>
      <c r="N12" s="21" t="s">
        <v>33</v>
      </c>
      <c r="O12" s="21" t="s">
        <v>99</v>
      </c>
      <c r="P12" s="44">
        <v>5.7976371196620725E-2</v>
      </c>
      <c r="Q12" s="44">
        <v>2.9930230474231059E-2</v>
      </c>
      <c r="R12" s="44">
        <v>-9.0698939652248359E-2</v>
      </c>
      <c r="S12" s="44">
        <v>0.23769301482833496</v>
      </c>
      <c r="T12" s="44">
        <v>7.0290635091496037E-2</v>
      </c>
    </row>
    <row r="13" spans="1:20" x14ac:dyDescent="0.3">
      <c r="A13" s="50" t="s">
        <v>34</v>
      </c>
      <c r="B13" s="50">
        <v>2017</v>
      </c>
      <c r="C13" s="50" t="s">
        <v>37</v>
      </c>
      <c r="D13" s="50">
        <v>1591</v>
      </c>
      <c r="E13" s="50">
        <v>128.1</v>
      </c>
      <c r="F13" s="50">
        <v>643</v>
      </c>
      <c r="I13">
        <v>2020</v>
      </c>
      <c r="J13" s="51">
        <v>1667.6499999999999</v>
      </c>
      <c r="K13" s="51">
        <v>154.28181818181815</v>
      </c>
      <c r="L13" s="51">
        <v>642.48333333333335</v>
      </c>
    </row>
    <row r="14" spans="1:20" x14ac:dyDescent="0.3">
      <c r="A14" s="49" t="s">
        <v>30</v>
      </c>
      <c r="B14" s="49">
        <v>2017</v>
      </c>
      <c r="C14" s="49" t="s">
        <v>38</v>
      </c>
      <c r="D14" s="49">
        <v>1597.1999999999996</v>
      </c>
      <c r="E14" s="49">
        <v>131.4</v>
      </c>
      <c r="F14" s="49">
        <v>525.59999999999991</v>
      </c>
      <c r="I14">
        <v>2021</v>
      </c>
      <c r="J14" s="51">
        <v>1960.1916666666666</v>
      </c>
      <c r="K14" s="51">
        <v>165.84166666666667</v>
      </c>
      <c r="L14" s="51">
        <v>788.39166666666677</v>
      </c>
    </row>
    <row r="15" spans="1:20" x14ac:dyDescent="0.3">
      <c r="A15" s="50" t="s">
        <v>33</v>
      </c>
      <c r="B15" s="50">
        <v>2017</v>
      </c>
      <c r="C15" s="50" t="s">
        <v>38</v>
      </c>
      <c r="D15" s="50">
        <v>1585.8</v>
      </c>
      <c r="E15" s="50">
        <v>123.6</v>
      </c>
      <c r="F15" s="50">
        <v>626.79999999999995</v>
      </c>
      <c r="I15">
        <v>2022</v>
      </c>
      <c r="J15" s="51">
        <v>2075.4333333333338</v>
      </c>
      <c r="K15" s="51">
        <v>175.92499999999998</v>
      </c>
      <c r="L15" s="51">
        <v>840.81666666666661</v>
      </c>
    </row>
    <row r="16" spans="1:20" x14ac:dyDescent="0.3">
      <c r="A16" s="49" t="s">
        <v>34</v>
      </c>
      <c r="B16" s="49">
        <v>2017</v>
      </c>
      <c r="C16" s="49" t="s">
        <v>38</v>
      </c>
      <c r="D16" s="49">
        <v>1592.0000000000002</v>
      </c>
      <c r="E16" s="49">
        <v>128.4</v>
      </c>
      <c r="F16" s="49">
        <v>643.9</v>
      </c>
      <c r="H16" t="s">
        <v>33</v>
      </c>
      <c r="I16">
        <v>2017</v>
      </c>
      <c r="J16" s="51">
        <v>1616.8000000000002</v>
      </c>
      <c r="K16" s="51">
        <v>124.86666666666667</v>
      </c>
      <c r="L16" s="51">
        <v>631.29166666666663</v>
      </c>
    </row>
    <row r="17" spans="1:32" x14ac:dyDescent="0.3">
      <c r="A17" s="50" t="s">
        <v>30</v>
      </c>
      <c r="B17" s="50">
        <v>2017</v>
      </c>
      <c r="C17" s="50" t="s">
        <v>39</v>
      </c>
      <c r="D17" s="50">
        <v>1608.4</v>
      </c>
      <c r="E17" s="50">
        <v>131.30000000000001</v>
      </c>
      <c r="F17" s="50">
        <v>526.29999999999995</v>
      </c>
      <c r="I17">
        <v>2018</v>
      </c>
      <c r="J17" s="51">
        <v>1616.9833333333333</v>
      </c>
      <c r="K17" s="51">
        <v>133.30833333333334</v>
      </c>
      <c r="L17" s="51">
        <v>667.89166666666665</v>
      </c>
    </row>
    <row r="18" spans="1:32" x14ac:dyDescent="0.3">
      <c r="A18" s="49" t="s">
        <v>33</v>
      </c>
      <c r="B18" s="49">
        <v>2017</v>
      </c>
      <c r="C18" s="49" t="s">
        <v>39</v>
      </c>
      <c r="D18" s="49">
        <v>1606.8000000000002</v>
      </c>
      <c r="E18" s="49">
        <v>123.8</v>
      </c>
      <c r="F18" s="49">
        <v>625.40000000000009</v>
      </c>
      <c r="I18">
        <v>2019</v>
      </c>
      <c r="J18" s="51">
        <v>1715.7272727272727</v>
      </c>
      <c r="K18" s="51">
        <v>140.74545454545455</v>
      </c>
      <c r="L18" s="51">
        <v>687.88181818181829</v>
      </c>
    </row>
    <row r="19" spans="1:32" x14ac:dyDescent="0.3">
      <c r="A19" s="50" t="s">
        <v>34</v>
      </c>
      <c r="B19" s="50">
        <v>2017</v>
      </c>
      <c r="C19" s="50" t="s">
        <v>39</v>
      </c>
      <c r="D19" s="50">
        <v>1606.9</v>
      </c>
      <c r="E19" s="50">
        <v>128.5</v>
      </c>
      <c r="F19" s="50">
        <v>643.30000000000007</v>
      </c>
      <c r="I19">
        <v>2020</v>
      </c>
      <c r="J19" s="51">
        <v>1690.2166666666665</v>
      </c>
      <c r="K19" s="51">
        <v>148.07272727272729</v>
      </c>
      <c r="L19" s="51">
        <v>625.49166666666667</v>
      </c>
    </row>
    <row r="20" spans="1:32" x14ac:dyDescent="0.3">
      <c r="A20" s="49" t="s">
        <v>30</v>
      </c>
      <c r="B20" s="49">
        <v>2017</v>
      </c>
      <c r="C20" s="49" t="s">
        <v>40</v>
      </c>
      <c r="D20" s="49">
        <v>1641.5</v>
      </c>
      <c r="E20" s="49">
        <v>132.1</v>
      </c>
      <c r="F20" s="49">
        <v>529.1</v>
      </c>
      <c r="I20">
        <v>2021</v>
      </c>
      <c r="J20" s="51">
        <v>1989.4666666666665</v>
      </c>
      <c r="K20" s="51">
        <v>160.49166666666665</v>
      </c>
      <c r="L20" s="51">
        <v>774.16666666666663</v>
      </c>
    </row>
    <row r="21" spans="1:32" x14ac:dyDescent="0.3">
      <c r="A21" s="50" t="s">
        <v>33</v>
      </c>
      <c r="B21" s="50">
        <v>2017</v>
      </c>
      <c r="C21" s="50" t="s">
        <v>40</v>
      </c>
      <c r="D21" s="50">
        <v>1643.6999999999998</v>
      </c>
      <c r="E21" s="50">
        <v>125</v>
      </c>
      <c r="F21" s="50">
        <v>628.20000000000005</v>
      </c>
      <c r="I21">
        <v>2022</v>
      </c>
      <c r="J21" s="51">
        <v>2104.7833333333333</v>
      </c>
      <c r="K21" s="51">
        <v>171.44166666666663</v>
      </c>
      <c r="L21" s="51">
        <v>828.58333333333314</v>
      </c>
    </row>
    <row r="22" spans="1:32" x14ac:dyDescent="0.3">
      <c r="A22" s="49" t="s">
        <v>34</v>
      </c>
      <c r="B22" s="49">
        <v>2017</v>
      </c>
      <c r="C22" s="49" t="s">
        <v>40</v>
      </c>
      <c r="D22" s="49">
        <v>1640.8999999999999</v>
      </c>
      <c r="E22" s="49">
        <v>129.4</v>
      </c>
      <c r="F22" s="49">
        <v>646.70000000000005</v>
      </c>
      <c r="H22" t="s">
        <v>62</v>
      </c>
      <c r="J22" s="51">
        <v>1781.1112676056332</v>
      </c>
      <c r="K22" s="51">
        <v>151.16476190476186</v>
      </c>
      <c r="L22" s="51">
        <v>670.21549295774628</v>
      </c>
    </row>
    <row r="23" spans="1:32" x14ac:dyDescent="0.3">
      <c r="A23" s="50" t="s">
        <v>30</v>
      </c>
      <c r="B23" s="50">
        <v>2017</v>
      </c>
      <c r="C23" s="50" t="s">
        <v>41</v>
      </c>
      <c r="D23" s="50">
        <v>1660.8999999999999</v>
      </c>
      <c r="E23" s="50">
        <v>133</v>
      </c>
      <c r="F23" s="50">
        <v>534.20000000000005</v>
      </c>
    </row>
    <row r="24" spans="1:32" x14ac:dyDescent="0.3">
      <c r="A24" s="49" t="s">
        <v>33</v>
      </c>
      <c r="B24" s="49">
        <v>2017</v>
      </c>
      <c r="C24" s="49" t="s">
        <v>41</v>
      </c>
      <c r="D24" s="49">
        <v>1648.3999999999999</v>
      </c>
      <c r="E24" s="49">
        <v>125.7</v>
      </c>
      <c r="F24" s="49">
        <v>631.29999999999995</v>
      </c>
    </row>
    <row r="25" spans="1:32" x14ac:dyDescent="0.3">
      <c r="A25" s="50" t="s">
        <v>34</v>
      </c>
      <c r="B25" s="50">
        <v>2017</v>
      </c>
      <c r="C25" s="50" t="s">
        <v>41</v>
      </c>
      <c r="D25" s="50">
        <v>1655.1</v>
      </c>
      <c r="E25" s="50">
        <v>130.19999999999999</v>
      </c>
      <c r="F25" s="50">
        <v>651.90000000000009</v>
      </c>
    </row>
    <row r="26" spans="1:32" x14ac:dyDescent="0.3">
      <c r="A26" s="49" t="s">
        <v>30</v>
      </c>
      <c r="B26" s="49">
        <v>2017</v>
      </c>
      <c r="C26" s="49" t="s">
        <v>42</v>
      </c>
      <c r="D26" s="49">
        <v>1652.6</v>
      </c>
      <c r="E26" s="49">
        <v>133.4</v>
      </c>
      <c r="F26" s="49">
        <v>536.1</v>
      </c>
      <c r="H26" t="s">
        <v>0</v>
      </c>
      <c r="I26" t="s">
        <v>1</v>
      </c>
      <c r="J26" t="s">
        <v>90</v>
      </c>
      <c r="K26" t="s">
        <v>91</v>
      </c>
      <c r="L26" t="s">
        <v>93</v>
      </c>
      <c r="M26" s="13" t="s">
        <v>94</v>
      </c>
      <c r="N26" s="13" t="s">
        <v>95</v>
      </c>
      <c r="O26" s="13" t="s">
        <v>96</v>
      </c>
      <c r="Z26" s="13"/>
      <c r="AF26" s="13"/>
    </row>
    <row r="27" spans="1:32" x14ac:dyDescent="0.3">
      <c r="A27" s="50" t="s">
        <v>33</v>
      </c>
      <c r="B27" s="50">
        <v>2017</v>
      </c>
      <c r="C27" s="50" t="s">
        <v>42</v>
      </c>
      <c r="D27" s="50">
        <v>1624.9</v>
      </c>
      <c r="E27" s="50">
        <v>126.1</v>
      </c>
      <c r="F27" s="50">
        <v>636</v>
      </c>
      <c r="H27" t="s">
        <v>30</v>
      </c>
      <c r="I27">
        <v>2017</v>
      </c>
      <c r="J27">
        <v>1633.075</v>
      </c>
      <c r="K27">
        <v>132.40833333333333</v>
      </c>
      <c r="L27">
        <v>530.45000000000005</v>
      </c>
      <c r="M27" s="13"/>
      <c r="N27" s="13"/>
      <c r="O27" s="13"/>
      <c r="Z27" s="13"/>
      <c r="AF27" s="13"/>
    </row>
    <row r="28" spans="1:32" x14ac:dyDescent="0.3">
      <c r="A28" s="49" t="s">
        <v>34</v>
      </c>
      <c r="B28" s="49">
        <v>2017</v>
      </c>
      <c r="C28" s="49" t="s">
        <v>42</v>
      </c>
      <c r="D28" s="49">
        <v>1641.1999999999998</v>
      </c>
      <c r="E28" s="49">
        <v>130.6</v>
      </c>
      <c r="F28" s="49">
        <v>655.69999999999993</v>
      </c>
      <c r="I28">
        <v>2018</v>
      </c>
      <c r="J28">
        <v>1657.45</v>
      </c>
      <c r="K28">
        <v>140.125</v>
      </c>
      <c r="L28">
        <v>562.61666666666702</v>
      </c>
      <c r="M28" s="13">
        <f>(J28-J27)/J27</f>
        <v>1.4925830105782037E-2</v>
      </c>
      <c r="N28" s="13">
        <f t="shared" ref="N28:N44" si="0">(K28-K27)/K27</f>
        <v>5.8279312732078814E-2</v>
      </c>
      <c r="O28" s="13">
        <f t="shared" ref="O28:O44" si="1">(L28-L27)/L27</f>
        <v>6.0640336820938764E-2</v>
      </c>
      <c r="Z28" s="13"/>
      <c r="AF28" s="13"/>
    </row>
    <row r="29" spans="1:32" x14ac:dyDescent="0.3">
      <c r="A29" s="50" t="s">
        <v>30</v>
      </c>
      <c r="B29" s="50">
        <v>2017</v>
      </c>
      <c r="C29" s="50" t="s">
        <v>43</v>
      </c>
      <c r="D29" s="50">
        <v>1659.6</v>
      </c>
      <c r="E29" s="50">
        <v>134.19999999999999</v>
      </c>
      <c r="F29" s="50">
        <v>537.6</v>
      </c>
      <c r="I29">
        <v>2019</v>
      </c>
      <c r="J29">
        <v>1689.0818181818183</v>
      </c>
      <c r="K29">
        <v>152.18181818181822</v>
      </c>
      <c r="L29">
        <v>586.77272727272714</v>
      </c>
      <c r="M29" s="13">
        <f t="shared" ref="M29:M44" si="2">(J29-J28)/J28</f>
        <v>1.9084628906946385E-2</v>
      </c>
      <c r="N29" s="13">
        <f t="shared" si="0"/>
        <v>8.6043305490228122E-2</v>
      </c>
      <c r="O29" s="13">
        <f t="shared" si="1"/>
        <v>4.2935202665035595E-2</v>
      </c>
    </row>
    <row r="30" spans="1:32" x14ac:dyDescent="0.3">
      <c r="A30" s="49" t="s">
        <v>33</v>
      </c>
      <c r="B30" s="49">
        <v>2017</v>
      </c>
      <c r="C30" s="49" t="s">
        <v>43</v>
      </c>
      <c r="D30" s="49">
        <v>1640.6</v>
      </c>
      <c r="E30" s="49">
        <v>126.6</v>
      </c>
      <c r="F30" s="49">
        <v>639.5</v>
      </c>
      <c r="I30">
        <v>2020</v>
      </c>
      <c r="J30">
        <v>1654.7166666666665</v>
      </c>
      <c r="K30">
        <v>158.06363636363633</v>
      </c>
      <c r="L30">
        <v>515.56666666666661</v>
      </c>
      <c r="M30" s="13">
        <f t="shared" si="2"/>
        <v>-2.0345462928577144E-2</v>
      </c>
      <c r="N30" s="13">
        <f t="shared" si="0"/>
        <v>3.8649940262843067E-2</v>
      </c>
      <c r="O30" s="13">
        <f t="shared" si="1"/>
        <v>-0.12135202830066869</v>
      </c>
    </row>
    <row r="31" spans="1:32" x14ac:dyDescent="0.3">
      <c r="A31" s="50" t="s">
        <v>34</v>
      </c>
      <c r="B31" s="50">
        <v>2017</v>
      </c>
      <c r="C31" s="50" t="s">
        <v>43</v>
      </c>
      <c r="D31" s="50">
        <v>1650.9999999999998</v>
      </c>
      <c r="E31" s="50">
        <v>131.30000000000001</v>
      </c>
      <c r="F31" s="50">
        <v>658.8</v>
      </c>
      <c r="I31">
        <v>2021</v>
      </c>
      <c r="J31">
        <v>1943.0750000000005</v>
      </c>
      <c r="K31">
        <v>169.06666666666669</v>
      </c>
      <c r="L31">
        <v>641.24166666666667</v>
      </c>
      <c r="M31" s="13">
        <f t="shared" si="2"/>
        <v>0.17426447629503586</v>
      </c>
      <c r="N31" s="13">
        <f t="shared" si="0"/>
        <v>6.9611395487050073E-2</v>
      </c>
      <c r="O31" s="13">
        <f t="shared" si="1"/>
        <v>0.24376091032520866</v>
      </c>
    </row>
    <row r="32" spans="1:32" x14ac:dyDescent="0.3">
      <c r="A32" s="49" t="s">
        <v>30</v>
      </c>
      <c r="B32" s="49">
        <v>2017</v>
      </c>
      <c r="C32" s="49" t="s">
        <v>45</v>
      </c>
      <c r="D32" s="49">
        <v>1685.8000000000002</v>
      </c>
      <c r="E32" s="49">
        <v>135.80000000000001</v>
      </c>
      <c r="F32" s="49">
        <v>543.6</v>
      </c>
      <c r="I32">
        <v>2022</v>
      </c>
      <c r="J32">
        <v>2058.7166666666667</v>
      </c>
      <c r="K32">
        <v>178.69166666666669</v>
      </c>
      <c r="L32">
        <v>685.625</v>
      </c>
      <c r="M32" s="13">
        <f t="shared" si="2"/>
        <v>5.9514772546950666E-2</v>
      </c>
      <c r="N32" s="13">
        <f t="shared" si="0"/>
        <v>5.6930205047318605E-2</v>
      </c>
      <c r="O32" s="13">
        <f t="shared" si="1"/>
        <v>6.9214674654641373E-2</v>
      </c>
    </row>
    <row r="33" spans="1:15" x14ac:dyDescent="0.3">
      <c r="A33" s="50" t="s">
        <v>33</v>
      </c>
      <c r="B33" s="50">
        <v>2017</v>
      </c>
      <c r="C33" s="50" t="s">
        <v>45</v>
      </c>
      <c r="D33" s="50">
        <v>1671.3</v>
      </c>
      <c r="E33" s="50">
        <v>127.4</v>
      </c>
      <c r="F33" s="50">
        <v>645</v>
      </c>
      <c r="H33" t="s">
        <v>34</v>
      </c>
      <c r="I33">
        <v>2017</v>
      </c>
      <c r="J33">
        <v>1625.925</v>
      </c>
      <c r="K33">
        <v>129.54166666666663</v>
      </c>
      <c r="L33">
        <v>649.38333333333333</v>
      </c>
      <c r="M33" s="13"/>
      <c r="N33" s="13"/>
      <c r="O33" s="13"/>
    </row>
    <row r="34" spans="1:15" x14ac:dyDescent="0.3">
      <c r="A34" s="49" t="s">
        <v>34</v>
      </c>
      <c r="B34" s="49">
        <v>2017</v>
      </c>
      <c r="C34" s="49" t="s">
        <v>45</v>
      </c>
      <c r="D34" s="49">
        <v>1679</v>
      </c>
      <c r="E34" s="49">
        <v>132.6</v>
      </c>
      <c r="F34" s="49">
        <v>665.19999999999993</v>
      </c>
      <c r="I34">
        <v>2018</v>
      </c>
      <c r="J34">
        <v>1642.1583333333335</v>
      </c>
      <c r="K34">
        <v>137.58333333333334</v>
      </c>
      <c r="L34">
        <v>689.20833333333337</v>
      </c>
      <c r="M34" s="13">
        <f t="shared" si="2"/>
        <v>9.9840603553875956E-3</v>
      </c>
      <c r="N34" s="13">
        <f t="shared" si="0"/>
        <v>6.2077838533290831E-2</v>
      </c>
      <c r="O34" s="13">
        <f t="shared" si="1"/>
        <v>6.1327413186869663E-2</v>
      </c>
    </row>
    <row r="35" spans="1:15" x14ac:dyDescent="0.3">
      <c r="A35" s="50" t="s">
        <v>30</v>
      </c>
      <c r="B35" s="50">
        <v>2017</v>
      </c>
      <c r="C35" s="50" t="s">
        <v>46</v>
      </c>
      <c r="D35" s="50">
        <v>1682.5000000000002</v>
      </c>
      <c r="E35" s="50">
        <v>136.1</v>
      </c>
      <c r="F35" s="50">
        <v>545.20000000000005</v>
      </c>
      <c r="I35">
        <v>2019</v>
      </c>
      <c r="J35">
        <v>1698.5545454545454</v>
      </c>
      <c r="K35">
        <v>147.84545454545457</v>
      </c>
      <c r="L35">
        <v>714.2</v>
      </c>
      <c r="M35" s="13">
        <f t="shared" si="2"/>
        <v>3.4342737223600164E-2</v>
      </c>
      <c r="N35" s="13">
        <f t="shared" si="0"/>
        <v>7.4588403722262109E-2</v>
      </c>
      <c r="O35" s="13">
        <f t="shared" si="1"/>
        <v>3.6261411039235844E-2</v>
      </c>
    </row>
    <row r="36" spans="1:15" x14ac:dyDescent="0.3">
      <c r="A36" s="49" t="s">
        <v>33</v>
      </c>
      <c r="B36" s="49">
        <v>2017</v>
      </c>
      <c r="C36" s="49" t="s">
        <v>46</v>
      </c>
      <c r="D36" s="49">
        <v>1641.8</v>
      </c>
      <c r="E36" s="49">
        <v>128.19999999999999</v>
      </c>
      <c r="F36" s="49">
        <v>647.20000000000005</v>
      </c>
      <c r="I36">
        <v>2020</v>
      </c>
      <c r="J36">
        <v>1667.6499999999999</v>
      </c>
      <c r="K36">
        <v>154.28181818181815</v>
      </c>
      <c r="L36">
        <v>642.48333333333335</v>
      </c>
      <c r="M36" s="13">
        <f t="shared" si="2"/>
        <v>-1.8194614672368537E-2</v>
      </c>
      <c r="N36" s="13">
        <f t="shared" si="0"/>
        <v>4.3534403246633074E-2</v>
      </c>
      <c r="O36" s="13">
        <f t="shared" si="1"/>
        <v>-0.10041538317931489</v>
      </c>
    </row>
    <row r="37" spans="1:15" x14ac:dyDescent="0.3">
      <c r="A37" s="50" t="s">
        <v>34</v>
      </c>
      <c r="B37" s="50">
        <v>2017</v>
      </c>
      <c r="C37" s="50" t="s">
        <v>46</v>
      </c>
      <c r="D37" s="50">
        <v>1666.1999999999998</v>
      </c>
      <c r="E37" s="50">
        <v>133.1</v>
      </c>
      <c r="F37" s="50">
        <v>667.4</v>
      </c>
      <c r="I37">
        <v>2021</v>
      </c>
      <c r="J37">
        <v>1960.1916666666666</v>
      </c>
      <c r="K37">
        <v>165.84166666666667</v>
      </c>
      <c r="L37">
        <v>788.39166666666677</v>
      </c>
      <c r="M37" s="13">
        <f t="shared" si="2"/>
        <v>0.17542150131422465</v>
      </c>
      <c r="N37" s="13">
        <f t="shared" si="0"/>
        <v>7.4926835975094988E-2</v>
      </c>
      <c r="O37" s="13">
        <f t="shared" si="1"/>
        <v>0.22710057329632427</v>
      </c>
    </row>
    <row r="38" spans="1:15" x14ac:dyDescent="0.3">
      <c r="A38" s="49" t="s">
        <v>30</v>
      </c>
      <c r="B38" s="49">
        <v>2018</v>
      </c>
      <c r="C38" s="49" t="s">
        <v>31</v>
      </c>
      <c r="D38" s="49">
        <v>1669.5</v>
      </c>
      <c r="E38" s="49">
        <v>136</v>
      </c>
      <c r="F38" s="49">
        <v>546.4</v>
      </c>
      <c r="I38">
        <v>2022</v>
      </c>
      <c r="J38">
        <v>2075.4333333333338</v>
      </c>
      <c r="K38">
        <v>175.92499999999998</v>
      </c>
      <c r="L38">
        <v>840.81666666666661</v>
      </c>
      <c r="M38" s="13">
        <f t="shared" si="2"/>
        <v>5.8791019585670061E-2</v>
      </c>
      <c r="N38" s="13">
        <f t="shared" si="0"/>
        <v>6.0800964775639302E-2</v>
      </c>
      <c r="O38" s="13">
        <f t="shared" si="1"/>
        <v>6.649613664950775E-2</v>
      </c>
    </row>
    <row r="39" spans="1:15" x14ac:dyDescent="0.3">
      <c r="A39" s="50" t="s">
        <v>33</v>
      </c>
      <c r="B39" s="50">
        <v>2018</v>
      </c>
      <c r="C39" s="50" t="s">
        <v>31</v>
      </c>
      <c r="D39" s="50">
        <v>1622.4</v>
      </c>
      <c r="E39" s="50">
        <v>129</v>
      </c>
      <c r="F39" s="50">
        <v>650.6</v>
      </c>
      <c r="H39" t="s">
        <v>33</v>
      </c>
      <c r="I39">
        <v>2017</v>
      </c>
      <c r="J39">
        <v>1616.8000000000002</v>
      </c>
      <c r="K39">
        <v>124.86666666666667</v>
      </c>
      <c r="L39">
        <v>631.29166666666663</v>
      </c>
      <c r="M39" s="13"/>
      <c r="N39" s="13"/>
      <c r="O39" s="13"/>
    </row>
    <row r="40" spans="1:15" x14ac:dyDescent="0.3">
      <c r="A40" s="49" t="s">
        <v>34</v>
      </c>
      <c r="B40" s="49">
        <v>2018</v>
      </c>
      <c r="C40" s="49" t="s">
        <v>31</v>
      </c>
      <c r="D40" s="49">
        <v>1650.9</v>
      </c>
      <c r="E40" s="49">
        <v>133.30000000000001</v>
      </c>
      <c r="F40" s="49">
        <v>670.19999999999993</v>
      </c>
      <c r="I40">
        <v>2018</v>
      </c>
      <c r="J40">
        <v>1616.9833333333333</v>
      </c>
      <c r="K40">
        <v>133.30833333333334</v>
      </c>
      <c r="L40">
        <v>667.89166666666665</v>
      </c>
      <c r="M40" s="13">
        <f t="shared" si="2"/>
        <v>1.1339270987949442E-4</v>
      </c>
      <c r="N40" s="13">
        <f t="shared" si="0"/>
        <v>6.7605445808862755E-2</v>
      </c>
      <c r="O40" s="13">
        <f t="shared" si="1"/>
        <v>5.7976371196620725E-2</v>
      </c>
    </row>
    <row r="41" spans="1:15" x14ac:dyDescent="0.3">
      <c r="A41" s="50" t="s">
        <v>30</v>
      </c>
      <c r="B41" s="50">
        <v>2018</v>
      </c>
      <c r="C41" s="50" t="s">
        <v>35</v>
      </c>
      <c r="D41" s="50">
        <v>1651</v>
      </c>
      <c r="E41" s="50">
        <v>136.19999999999999</v>
      </c>
      <c r="F41" s="50">
        <v>547.1</v>
      </c>
      <c r="I41">
        <v>2019</v>
      </c>
      <c r="J41">
        <v>1715.7272727272727</v>
      </c>
      <c r="K41">
        <v>140.74545454545455</v>
      </c>
      <c r="L41">
        <v>687.88181818181829</v>
      </c>
      <c r="M41" s="13">
        <f t="shared" si="2"/>
        <v>6.106676386724625E-2</v>
      </c>
      <c r="N41" s="13">
        <f t="shared" si="0"/>
        <v>5.5788869503941081E-2</v>
      </c>
      <c r="O41" s="13">
        <f t="shared" si="1"/>
        <v>2.9930230474231059E-2</v>
      </c>
    </row>
    <row r="42" spans="1:15" x14ac:dyDescent="0.3">
      <c r="A42" s="49" t="s">
        <v>33</v>
      </c>
      <c r="B42" s="49">
        <v>2018</v>
      </c>
      <c r="C42" s="49" t="s">
        <v>35</v>
      </c>
      <c r="D42" s="49">
        <v>1602</v>
      </c>
      <c r="E42" s="49">
        <v>129.80000000000001</v>
      </c>
      <c r="F42" s="49">
        <v>653.09999999999991</v>
      </c>
      <c r="I42">
        <v>2020</v>
      </c>
      <c r="J42">
        <v>1690.2166666666665</v>
      </c>
      <c r="K42">
        <v>148.07272727272729</v>
      </c>
      <c r="L42">
        <v>625.49166666666667</v>
      </c>
      <c r="M42" s="13">
        <f t="shared" si="2"/>
        <v>-1.4868683657429611E-2</v>
      </c>
      <c r="N42" s="13">
        <f t="shared" si="0"/>
        <v>5.2060457305257823E-2</v>
      </c>
      <c r="O42" s="13">
        <f t="shared" si="1"/>
        <v>-9.0698939652248359E-2</v>
      </c>
    </row>
    <row r="43" spans="1:15" x14ac:dyDescent="0.3">
      <c r="A43" s="50" t="s">
        <v>34</v>
      </c>
      <c r="B43" s="50">
        <v>2018</v>
      </c>
      <c r="C43" s="50" t="s">
        <v>35</v>
      </c>
      <c r="D43" s="50">
        <v>1631.7999999999997</v>
      </c>
      <c r="E43" s="50">
        <v>133.80000000000001</v>
      </c>
      <c r="F43" s="50">
        <v>672.4</v>
      </c>
      <c r="I43">
        <v>2021</v>
      </c>
      <c r="J43">
        <v>1989.4666666666665</v>
      </c>
      <c r="K43">
        <v>160.49166666666665</v>
      </c>
      <c r="L43">
        <v>774.16666666666663</v>
      </c>
      <c r="M43" s="13">
        <f t="shared" si="2"/>
        <v>0.177048307416209</v>
      </c>
      <c r="N43" s="13">
        <f t="shared" si="0"/>
        <v>8.387053863785171E-2</v>
      </c>
      <c r="O43" s="13">
        <f t="shared" si="1"/>
        <v>0.23769301482833496</v>
      </c>
    </row>
    <row r="44" spans="1:15" x14ac:dyDescent="0.3">
      <c r="A44" s="49" t="s">
        <v>30</v>
      </c>
      <c r="B44" s="49">
        <v>2018</v>
      </c>
      <c r="C44" s="49" t="s">
        <v>36</v>
      </c>
      <c r="D44" s="49">
        <v>1650.7999999999997</v>
      </c>
      <c r="E44" s="49">
        <v>136.69999999999999</v>
      </c>
      <c r="F44" s="49">
        <v>549.79999999999995</v>
      </c>
      <c r="I44">
        <v>2022</v>
      </c>
      <c r="J44">
        <v>2104.7833333333333</v>
      </c>
      <c r="K44">
        <v>171.44166666666663</v>
      </c>
      <c r="L44">
        <v>828.58333333333314</v>
      </c>
      <c r="M44" s="13">
        <f t="shared" si="2"/>
        <v>5.79636083372429E-2</v>
      </c>
      <c r="N44" s="13">
        <f t="shared" si="0"/>
        <v>6.8227841528635896E-2</v>
      </c>
      <c r="O44" s="13">
        <f t="shared" si="1"/>
        <v>7.0290635091496037E-2</v>
      </c>
    </row>
    <row r="45" spans="1:15" x14ac:dyDescent="0.3">
      <c r="A45" s="50" t="s">
        <v>33</v>
      </c>
      <c r="B45" s="50">
        <v>2018</v>
      </c>
      <c r="C45" s="50" t="s">
        <v>36</v>
      </c>
      <c r="D45" s="50">
        <v>1589.3</v>
      </c>
      <c r="E45" s="50">
        <v>130.5</v>
      </c>
      <c r="F45" s="50">
        <v>654.79999999999995</v>
      </c>
    </row>
    <row r="46" spans="1:15" x14ac:dyDescent="0.3">
      <c r="A46" s="49" t="s">
        <v>34</v>
      </c>
      <c r="B46" s="49">
        <v>2018</v>
      </c>
      <c r="C46" s="49" t="s">
        <v>36</v>
      </c>
      <c r="D46" s="49">
        <v>1626.9</v>
      </c>
      <c r="E46" s="49">
        <v>134.30000000000001</v>
      </c>
      <c r="F46" s="49">
        <v>674.90000000000009</v>
      </c>
    </row>
    <row r="47" spans="1:15" x14ac:dyDescent="0.3">
      <c r="A47" s="50" t="s">
        <v>30</v>
      </c>
      <c r="B47" s="50">
        <v>2018</v>
      </c>
      <c r="C47" s="50" t="s">
        <v>37</v>
      </c>
      <c r="D47" s="50">
        <v>1648.1</v>
      </c>
      <c r="E47" s="50">
        <v>137.6</v>
      </c>
      <c r="F47" s="50">
        <v>553.70000000000005</v>
      </c>
    </row>
    <row r="48" spans="1:15" x14ac:dyDescent="0.3">
      <c r="A48" s="49" t="s">
        <v>33</v>
      </c>
      <c r="B48" s="49">
        <v>2018</v>
      </c>
      <c r="C48" s="49" t="s">
        <v>37</v>
      </c>
      <c r="D48" s="49">
        <v>1593.5000000000002</v>
      </c>
      <c r="E48" s="49">
        <v>131.30000000000001</v>
      </c>
      <c r="F48" s="49">
        <v>657.90000000000009</v>
      </c>
    </row>
    <row r="49" spans="1:6" x14ac:dyDescent="0.3">
      <c r="A49" s="50" t="s">
        <v>34</v>
      </c>
      <c r="B49" s="50">
        <v>2018</v>
      </c>
      <c r="C49" s="50" t="s">
        <v>37</v>
      </c>
      <c r="D49" s="50">
        <v>1627.5000000000002</v>
      </c>
      <c r="E49" s="50">
        <v>135.19999999999999</v>
      </c>
      <c r="F49" s="50">
        <v>679.3</v>
      </c>
    </row>
    <row r="50" spans="1:6" x14ac:dyDescent="0.3">
      <c r="A50" s="49" t="s">
        <v>30</v>
      </c>
      <c r="B50" s="49">
        <v>2018</v>
      </c>
      <c r="C50" s="49" t="s">
        <v>38</v>
      </c>
      <c r="D50" s="49">
        <v>1650.2</v>
      </c>
      <c r="E50" s="49">
        <v>138.4</v>
      </c>
      <c r="F50" s="49">
        <v>556.9</v>
      </c>
    </row>
    <row r="51" spans="1:6" x14ac:dyDescent="0.3">
      <c r="A51" s="50" t="s">
        <v>33</v>
      </c>
      <c r="B51" s="50">
        <v>2018</v>
      </c>
      <c r="C51" s="50" t="s">
        <v>38</v>
      </c>
      <c r="D51" s="50">
        <v>1596.3</v>
      </c>
      <c r="E51" s="50">
        <v>132</v>
      </c>
      <c r="F51" s="50">
        <v>660.59999999999991</v>
      </c>
    </row>
    <row r="52" spans="1:6" x14ac:dyDescent="0.3">
      <c r="A52" s="49" t="s">
        <v>34</v>
      </c>
      <c r="B52" s="49">
        <v>2018</v>
      </c>
      <c r="C52" s="49" t="s">
        <v>38</v>
      </c>
      <c r="D52" s="49">
        <v>1629.8999999999999</v>
      </c>
      <c r="E52" s="49">
        <v>136</v>
      </c>
      <c r="F52" s="49">
        <v>682.5</v>
      </c>
    </row>
    <row r="53" spans="1:6" x14ac:dyDescent="0.3">
      <c r="A53" s="50" t="s">
        <v>30</v>
      </c>
      <c r="B53" s="50">
        <v>2018</v>
      </c>
      <c r="C53" s="50" t="s">
        <v>39</v>
      </c>
      <c r="D53" s="50">
        <v>1657.4999999999998</v>
      </c>
      <c r="E53" s="50">
        <v>138.4</v>
      </c>
      <c r="F53" s="50">
        <v>559.79999999999995</v>
      </c>
    </row>
    <row r="54" spans="1:6" x14ac:dyDescent="0.3">
      <c r="A54" s="49" t="s">
        <v>33</v>
      </c>
      <c r="B54" s="49">
        <v>2018</v>
      </c>
      <c r="C54" s="49" t="s">
        <v>39</v>
      </c>
      <c r="D54" s="49">
        <v>1620.6000000000001</v>
      </c>
      <c r="E54" s="49">
        <v>132.6</v>
      </c>
      <c r="F54" s="49">
        <v>663.7</v>
      </c>
    </row>
    <row r="55" spans="1:6" x14ac:dyDescent="0.3">
      <c r="A55" s="50" t="s">
        <v>34</v>
      </c>
      <c r="B55" s="50">
        <v>2018</v>
      </c>
      <c r="C55" s="50" t="s">
        <v>39</v>
      </c>
      <c r="D55" s="50">
        <v>1643.8000000000002</v>
      </c>
      <c r="E55" s="50">
        <v>136.19999999999999</v>
      </c>
      <c r="F55" s="50">
        <v>685</v>
      </c>
    </row>
    <row r="56" spans="1:6" x14ac:dyDescent="0.3">
      <c r="A56" s="49" t="s">
        <v>30</v>
      </c>
      <c r="B56" s="49">
        <v>2018</v>
      </c>
      <c r="C56" s="49" t="s">
        <v>40</v>
      </c>
      <c r="D56" s="49">
        <v>1677.7000000000003</v>
      </c>
      <c r="E56" s="49">
        <v>139</v>
      </c>
      <c r="F56" s="49">
        <v>563.20000000000005</v>
      </c>
    </row>
    <row r="57" spans="1:6" x14ac:dyDescent="0.3">
      <c r="A57" s="50" t="s">
        <v>33</v>
      </c>
      <c r="B57" s="50">
        <v>2018</v>
      </c>
      <c r="C57" s="50" t="s">
        <v>40</v>
      </c>
      <c r="D57" s="50">
        <v>1644.3</v>
      </c>
      <c r="E57" s="50">
        <v>133.6</v>
      </c>
      <c r="F57" s="50">
        <v>669.4</v>
      </c>
    </row>
    <row r="58" spans="1:6" x14ac:dyDescent="0.3">
      <c r="A58" s="49" t="s">
        <v>34</v>
      </c>
      <c r="B58" s="49">
        <v>2018</v>
      </c>
      <c r="C58" s="49" t="s">
        <v>40</v>
      </c>
      <c r="D58" s="49">
        <v>1665</v>
      </c>
      <c r="E58" s="49">
        <v>137</v>
      </c>
      <c r="F58" s="49">
        <v>690.2</v>
      </c>
    </row>
    <row r="59" spans="1:6" x14ac:dyDescent="0.3">
      <c r="A59" s="50" t="s">
        <v>30</v>
      </c>
      <c r="B59" s="50">
        <v>2018</v>
      </c>
      <c r="C59" s="50" t="s">
        <v>41</v>
      </c>
      <c r="D59" s="50">
        <v>1685</v>
      </c>
      <c r="E59" s="50">
        <v>139.4</v>
      </c>
      <c r="F59" s="50">
        <v>566.70000000000005</v>
      </c>
    </row>
    <row r="60" spans="1:6" x14ac:dyDescent="0.3">
      <c r="A60" s="49" t="s">
        <v>33</v>
      </c>
      <c r="B60" s="49">
        <v>2018</v>
      </c>
      <c r="C60" s="49" t="s">
        <v>41</v>
      </c>
      <c r="D60" s="49">
        <v>1640.1999999999998</v>
      </c>
      <c r="E60" s="49">
        <v>134.9</v>
      </c>
      <c r="F60" s="49">
        <v>674.8</v>
      </c>
    </row>
    <row r="61" spans="1:6" x14ac:dyDescent="0.3">
      <c r="A61" s="50" t="s">
        <v>34</v>
      </c>
      <c r="B61" s="50">
        <v>2018</v>
      </c>
      <c r="C61" s="50" t="s">
        <v>41</v>
      </c>
      <c r="D61" s="50">
        <v>1667.6000000000004</v>
      </c>
      <c r="E61" s="50">
        <v>137.69999999999999</v>
      </c>
      <c r="F61" s="50">
        <v>695.19999999999993</v>
      </c>
    </row>
    <row r="62" spans="1:6" x14ac:dyDescent="0.3">
      <c r="A62" s="49" t="s">
        <v>30</v>
      </c>
      <c r="B62" s="49">
        <v>2018</v>
      </c>
      <c r="C62" s="49" t="s">
        <v>42</v>
      </c>
      <c r="D62" s="49">
        <v>1666.7000000000003</v>
      </c>
      <c r="E62" s="49">
        <v>140</v>
      </c>
      <c r="F62" s="49">
        <v>570.5</v>
      </c>
    </row>
    <row r="63" spans="1:6" x14ac:dyDescent="0.3">
      <c r="A63" s="50" t="s">
        <v>33</v>
      </c>
      <c r="B63" s="50">
        <v>2018</v>
      </c>
      <c r="C63" s="50" t="s">
        <v>42</v>
      </c>
      <c r="D63" s="50">
        <v>1620.7</v>
      </c>
      <c r="E63" s="50">
        <v>135.69999999999999</v>
      </c>
      <c r="F63" s="50">
        <v>679.09999999999991</v>
      </c>
    </row>
    <row r="64" spans="1:6" x14ac:dyDescent="0.3">
      <c r="A64" s="49" t="s">
        <v>34</v>
      </c>
      <c r="B64" s="49">
        <v>2018</v>
      </c>
      <c r="C64" s="49" t="s">
        <v>42</v>
      </c>
      <c r="D64" s="49">
        <v>1648.7</v>
      </c>
      <c r="E64" s="49">
        <v>138.4</v>
      </c>
      <c r="F64" s="49">
        <v>699.5</v>
      </c>
    </row>
    <row r="65" spans="1:6" x14ac:dyDescent="0.3">
      <c r="A65" s="50" t="s">
        <v>30</v>
      </c>
      <c r="B65" s="50">
        <v>2018</v>
      </c>
      <c r="C65" s="50" t="s">
        <v>43</v>
      </c>
      <c r="D65" s="50">
        <v>1647.6000000000001</v>
      </c>
      <c r="E65" s="50">
        <v>144.80000000000001</v>
      </c>
      <c r="F65" s="50">
        <v>576</v>
      </c>
    </row>
    <row r="66" spans="1:6" x14ac:dyDescent="0.3">
      <c r="A66" s="49" t="s">
        <v>33</v>
      </c>
      <c r="B66" s="49">
        <v>2018</v>
      </c>
      <c r="C66" s="49" t="s">
        <v>43</v>
      </c>
      <c r="D66" s="49">
        <v>1626.5</v>
      </c>
      <c r="E66" s="49">
        <v>136.19999999999999</v>
      </c>
      <c r="F66" s="49">
        <v>683.6</v>
      </c>
    </row>
    <row r="67" spans="1:6" x14ac:dyDescent="0.3">
      <c r="A67" s="50" t="s">
        <v>34</v>
      </c>
      <c r="B67" s="50">
        <v>2018</v>
      </c>
      <c r="C67" s="50" t="s">
        <v>43</v>
      </c>
      <c r="D67" s="50">
        <v>1642.6000000000001</v>
      </c>
      <c r="E67" s="50">
        <v>142.1</v>
      </c>
      <c r="F67" s="50">
        <v>707.7</v>
      </c>
    </row>
    <row r="68" spans="1:6" x14ac:dyDescent="0.3">
      <c r="A68" s="49" t="s">
        <v>30</v>
      </c>
      <c r="B68" s="49">
        <v>2018</v>
      </c>
      <c r="C68" s="49" t="s">
        <v>45</v>
      </c>
      <c r="D68" s="49">
        <v>1649.9999999999995</v>
      </c>
      <c r="E68" s="49">
        <v>145.4</v>
      </c>
      <c r="F68" s="49">
        <v>578.79999999999995</v>
      </c>
    </row>
    <row r="69" spans="1:6" x14ac:dyDescent="0.3">
      <c r="A69" s="50" t="s">
        <v>33</v>
      </c>
      <c r="B69" s="50">
        <v>2018</v>
      </c>
      <c r="C69" s="50" t="s">
        <v>45</v>
      </c>
      <c r="D69" s="50">
        <v>1629.4999999999998</v>
      </c>
      <c r="E69" s="50">
        <v>136.80000000000001</v>
      </c>
      <c r="F69" s="50">
        <v>686.7</v>
      </c>
    </row>
    <row r="70" spans="1:6" x14ac:dyDescent="0.3">
      <c r="A70" s="49" t="s">
        <v>34</v>
      </c>
      <c r="B70" s="49">
        <v>2018</v>
      </c>
      <c r="C70" s="49" t="s">
        <v>45</v>
      </c>
      <c r="D70" s="49">
        <v>1642.2000000000003</v>
      </c>
      <c r="E70" s="49">
        <v>142.1</v>
      </c>
      <c r="F70" s="49">
        <v>707.5</v>
      </c>
    </row>
    <row r="71" spans="1:6" x14ac:dyDescent="0.3">
      <c r="A71" s="50" t="s">
        <v>30</v>
      </c>
      <c r="B71" s="50">
        <v>2018</v>
      </c>
      <c r="C71" s="50" t="s">
        <v>46</v>
      </c>
      <c r="D71" s="50">
        <v>1635.3000000000002</v>
      </c>
      <c r="E71" s="50">
        <v>149.6</v>
      </c>
      <c r="F71" s="50">
        <v>582.5</v>
      </c>
    </row>
    <row r="72" spans="1:6" x14ac:dyDescent="0.3">
      <c r="A72" s="49" t="s">
        <v>33</v>
      </c>
      <c r="B72" s="49">
        <v>2018</v>
      </c>
      <c r="C72" s="49" t="s">
        <v>46</v>
      </c>
      <c r="D72" s="49">
        <v>1618.5</v>
      </c>
      <c r="E72" s="49">
        <v>137.30000000000001</v>
      </c>
      <c r="F72" s="49">
        <v>680.4</v>
      </c>
    </row>
    <row r="73" spans="1:6" x14ac:dyDescent="0.3">
      <c r="A73" s="50" t="s">
        <v>34</v>
      </c>
      <c r="B73" s="50">
        <v>2018</v>
      </c>
      <c r="C73" s="50" t="s">
        <v>46</v>
      </c>
      <c r="D73" s="50">
        <v>1628.9999999999998</v>
      </c>
      <c r="E73" s="50">
        <v>144.9</v>
      </c>
      <c r="F73" s="50">
        <v>706.1</v>
      </c>
    </row>
    <row r="74" spans="1:6" x14ac:dyDescent="0.3">
      <c r="A74" s="49" t="s">
        <v>30</v>
      </c>
      <c r="B74" s="49">
        <v>2019</v>
      </c>
      <c r="C74" s="49" t="s">
        <v>31</v>
      </c>
      <c r="D74" s="49">
        <v>1622.6000000000001</v>
      </c>
      <c r="E74" s="49">
        <v>149.6</v>
      </c>
      <c r="F74" s="49">
        <v>580.09999999999991</v>
      </c>
    </row>
    <row r="75" spans="1:6" x14ac:dyDescent="0.3">
      <c r="A75" s="50" t="s">
        <v>33</v>
      </c>
      <c r="B75" s="50">
        <v>2019</v>
      </c>
      <c r="C75" s="50" t="s">
        <v>31</v>
      </c>
      <c r="D75" s="50">
        <v>1616.2000000000003</v>
      </c>
      <c r="E75" s="50">
        <v>137.80000000000001</v>
      </c>
      <c r="F75" s="50">
        <v>677.8</v>
      </c>
    </row>
    <row r="76" spans="1:6" x14ac:dyDescent="0.3">
      <c r="A76" s="49" t="s">
        <v>34</v>
      </c>
      <c r="B76" s="49">
        <v>2019</v>
      </c>
      <c r="C76" s="49" t="s">
        <v>31</v>
      </c>
      <c r="D76" s="49">
        <v>1620.1</v>
      </c>
      <c r="E76" s="49">
        <v>145.1</v>
      </c>
      <c r="F76" s="49">
        <v>704.3</v>
      </c>
    </row>
    <row r="77" spans="1:6" x14ac:dyDescent="0.3">
      <c r="A77" s="50" t="s">
        <v>30</v>
      </c>
      <c r="B77" s="50">
        <v>2019</v>
      </c>
      <c r="C77" s="50" t="s">
        <v>35</v>
      </c>
      <c r="D77" s="50">
        <v>1622.4</v>
      </c>
      <c r="E77" s="50">
        <v>149.9</v>
      </c>
      <c r="F77" s="50">
        <v>580.09999999999991</v>
      </c>
    </row>
    <row r="78" spans="1:6" x14ac:dyDescent="0.3">
      <c r="A78" s="49" t="s">
        <v>33</v>
      </c>
      <c r="B78" s="49">
        <v>2019</v>
      </c>
      <c r="C78" s="49" t="s">
        <v>35</v>
      </c>
      <c r="D78" s="49">
        <v>1626.1000000000001</v>
      </c>
      <c r="E78" s="49">
        <v>138.5</v>
      </c>
      <c r="F78" s="49">
        <v>678.00000000000011</v>
      </c>
    </row>
    <row r="79" spans="1:6" x14ac:dyDescent="0.3">
      <c r="A79" s="50" t="s">
        <v>34</v>
      </c>
      <c r="B79" s="50">
        <v>2019</v>
      </c>
      <c r="C79" s="50" t="s">
        <v>35</v>
      </c>
      <c r="D79" s="50">
        <v>1623.5</v>
      </c>
      <c r="E79" s="50">
        <v>145.6</v>
      </c>
      <c r="F79" s="50">
        <v>704.8</v>
      </c>
    </row>
    <row r="80" spans="1:6" x14ac:dyDescent="0.3">
      <c r="A80" s="49" t="s">
        <v>30</v>
      </c>
      <c r="B80" s="49">
        <v>2019</v>
      </c>
      <c r="C80" s="49" t="s">
        <v>36</v>
      </c>
      <c r="D80" s="49">
        <v>1623.8000000000002</v>
      </c>
      <c r="E80" s="49">
        <v>150.4</v>
      </c>
      <c r="F80" s="49">
        <v>581.79999999999995</v>
      </c>
    </row>
    <row r="81" spans="1:6" x14ac:dyDescent="0.3">
      <c r="A81" s="50" t="s">
        <v>33</v>
      </c>
      <c r="B81" s="50">
        <v>2019</v>
      </c>
      <c r="C81" s="50" t="s">
        <v>36</v>
      </c>
      <c r="D81" s="50">
        <v>1639.9</v>
      </c>
      <c r="E81" s="50">
        <v>139.19999999999999</v>
      </c>
      <c r="F81" s="50">
        <v>681.2</v>
      </c>
    </row>
    <row r="82" spans="1:6" x14ac:dyDescent="0.3">
      <c r="A82" s="49" t="s">
        <v>34</v>
      </c>
      <c r="B82" s="49">
        <v>2019</v>
      </c>
      <c r="C82" s="49" t="s">
        <v>36</v>
      </c>
      <c r="D82" s="49">
        <v>1629.2</v>
      </c>
      <c r="E82" s="49">
        <v>146.19999999999999</v>
      </c>
      <c r="F82" s="49">
        <v>707.40000000000009</v>
      </c>
    </row>
    <row r="83" spans="1:6" x14ac:dyDescent="0.3">
      <c r="A83" s="50" t="s">
        <v>30</v>
      </c>
      <c r="B83" s="50">
        <v>2019</v>
      </c>
      <c r="C83" s="50" t="s">
        <v>38</v>
      </c>
      <c r="D83" s="50">
        <v>1644.4</v>
      </c>
      <c r="E83" s="50">
        <v>151.30000000000001</v>
      </c>
      <c r="F83" s="50">
        <v>583.29999999999995</v>
      </c>
    </row>
    <row r="84" spans="1:6" x14ac:dyDescent="0.3">
      <c r="A84" s="49" t="s">
        <v>33</v>
      </c>
      <c r="B84" s="49">
        <v>2019</v>
      </c>
      <c r="C84" s="49" t="s">
        <v>38</v>
      </c>
      <c r="D84" s="49">
        <v>1682.6000000000001</v>
      </c>
      <c r="E84" s="49">
        <v>139.80000000000001</v>
      </c>
      <c r="F84" s="49">
        <v>684.8</v>
      </c>
    </row>
    <row r="85" spans="1:6" x14ac:dyDescent="0.3">
      <c r="A85" s="50" t="s">
        <v>34</v>
      </c>
      <c r="B85" s="50">
        <v>2019</v>
      </c>
      <c r="C85" s="50" t="s">
        <v>38</v>
      </c>
      <c r="D85" s="50">
        <v>1657.9000000000003</v>
      </c>
      <c r="E85" s="50">
        <v>146.9</v>
      </c>
      <c r="F85" s="50">
        <v>710.6</v>
      </c>
    </row>
    <row r="86" spans="1:6" x14ac:dyDescent="0.3">
      <c r="A86" s="49" t="s">
        <v>30</v>
      </c>
      <c r="B86" s="49">
        <v>2019</v>
      </c>
      <c r="C86" s="49" t="s">
        <v>39</v>
      </c>
      <c r="D86" s="49">
        <v>1666.1999999999998</v>
      </c>
      <c r="E86" s="49">
        <v>151.69999999999999</v>
      </c>
      <c r="F86" s="49">
        <v>585.29999999999995</v>
      </c>
    </row>
    <row r="87" spans="1:6" x14ac:dyDescent="0.3">
      <c r="A87" s="50" t="s">
        <v>33</v>
      </c>
      <c r="B87" s="50">
        <v>2019</v>
      </c>
      <c r="C87" s="50" t="s">
        <v>39</v>
      </c>
      <c r="D87" s="50">
        <v>1704.2999999999997</v>
      </c>
      <c r="E87" s="50">
        <v>140.30000000000001</v>
      </c>
      <c r="F87" s="50">
        <v>685.8</v>
      </c>
    </row>
    <row r="88" spans="1:6" x14ac:dyDescent="0.3">
      <c r="A88" s="49" t="s">
        <v>34</v>
      </c>
      <c r="B88" s="49">
        <v>2019</v>
      </c>
      <c r="C88" s="49" t="s">
        <v>39</v>
      </c>
      <c r="D88" s="49">
        <v>1679.9</v>
      </c>
      <c r="E88" s="49">
        <v>147.4</v>
      </c>
      <c r="F88" s="49">
        <v>711.5</v>
      </c>
    </row>
    <row r="89" spans="1:6" x14ac:dyDescent="0.3">
      <c r="A89" s="50" t="s">
        <v>30</v>
      </c>
      <c r="B89" s="50">
        <v>2019</v>
      </c>
      <c r="C89" s="50" t="s">
        <v>40</v>
      </c>
      <c r="D89" s="50">
        <v>1688.3999999999999</v>
      </c>
      <c r="E89" s="50">
        <v>152.19999999999999</v>
      </c>
      <c r="F89" s="50">
        <v>587.1</v>
      </c>
    </row>
    <row r="90" spans="1:6" x14ac:dyDescent="0.3">
      <c r="A90" s="49" t="s">
        <v>33</v>
      </c>
      <c r="B90" s="49">
        <v>2019</v>
      </c>
      <c r="C90" s="49" t="s">
        <v>40</v>
      </c>
      <c r="D90" s="49">
        <v>1727.8999999999999</v>
      </c>
      <c r="E90" s="49">
        <v>140.80000000000001</v>
      </c>
      <c r="F90" s="49">
        <v>686.3</v>
      </c>
    </row>
    <row r="91" spans="1:6" x14ac:dyDescent="0.3">
      <c r="A91" s="50" t="s">
        <v>34</v>
      </c>
      <c r="B91" s="50">
        <v>2019</v>
      </c>
      <c r="C91" s="50" t="s">
        <v>40</v>
      </c>
      <c r="D91" s="50">
        <v>1702.8</v>
      </c>
      <c r="E91" s="50">
        <v>147.9</v>
      </c>
      <c r="F91" s="50">
        <v>713.69999999999993</v>
      </c>
    </row>
    <row r="92" spans="1:6" x14ac:dyDescent="0.3">
      <c r="A92" s="49" t="s">
        <v>30</v>
      </c>
      <c r="B92" s="49">
        <v>2019</v>
      </c>
      <c r="C92" s="49" t="s">
        <v>41</v>
      </c>
      <c r="D92" s="49">
        <v>1696.0000000000002</v>
      </c>
      <c r="E92" s="49">
        <v>152.69999999999999</v>
      </c>
      <c r="F92" s="49">
        <v>587.70000000000005</v>
      </c>
    </row>
    <row r="93" spans="1:6" x14ac:dyDescent="0.3">
      <c r="A93" s="50" t="s">
        <v>33</v>
      </c>
      <c r="B93" s="50">
        <v>2019</v>
      </c>
      <c r="C93" s="50" t="s">
        <v>41</v>
      </c>
      <c r="D93" s="50">
        <v>1739.3</v>
      </c>
      <c r="E93" s="50">
        <v>141.5</v>
      </c>
      <c r="F93" s="50">
        <v>687.5</v>
      </c>
    </row>
    <row r="94" spans="1:6" x14ac:dyDescent="0.3">
      <c r="A94" s="49" t="s">
        <v>34</v>
      </c>
      <c r="B94" s="49">
        <v>2019</v>
      </c>
      <c r="C94" s="49" t="s">
        <v>41</v>
      </c>
      <c r="D94" s="49">
        <v>1711.6</v>
      </c>
      <c r="E94" s="49">
        <v>148.5</v>
      </c>
      <c r="F94" s="49">
        <v>715.3</v>
      </c>
    </row>
    <row r="95" spans="1:6" x14ac:dyDescent="0.3">
      <c r="A95" s="50" t="s">
        <v>30</v>
      </c>
      <c r="B95" s="50">
        <v>2019</v>
      </c>
      <c r="C95" s="50" t="s">
        <v>42</v>
      </c>
      <c r="D95" s="50">
        <v>1710.2</v>
      </c>
      <c r="E95" s="50">
        <v>153.4</v>
      </c>
      <c r="F95" s="50">
        <v>589</v>
      </c>
    </row>
    <row r="96" spans="1:6" x14ac:dyDescent="0.3">
      <c r="A96" s="49" t="s">
        <v>33</v>
      </c>
      <c r="B96" s="49">
        <v>2019</v>
      </c>
      <c r="C96" s="49" t="s">
        <v>42</v>
      </c>
      <c r="D96" s="49">
        <v>1744.9</v>
      </c>
      <c r="E96" s="49">
        <v>141.9</v>
      </c>
      <c r="F96" s="49">
        <v>689.9</v>
      </c>
    </row>
    <row r="97" spans="1:6" x14ac:dyDescent="0.3">
      <c r="A97" s="50" t="s">
        <v>34</v>
      </c>
      <c r="B97" s="50">
        <v>2019</v>
      </c>
      <c r="C97" s="50" t="s">
        <v>42</v>
      </c>
      <c r="D97" s="50">
        <v>1722.6999999999998</v>
      </c>
      <c r="E97" s="50">
        <v>149</v>
      </c>
      <c r="F97" s="50">
        <v>717.3</v>
      </c>
    </row>
    <row r="98" spans="1:6" x14ac:dyDescent="0.3">
      <c r="A98" s="49" t="s">
        <v>30</v>
      </c>
      <c r="B98" s="49">
        <v>2019</v>
      </c>
      <c r="C98" s="49" t="s">
        <v>43</v>
      </c>
      <c r="D98" s="49">
        <v>1738.2999999999997</v>
      </c>
      <c r="E98" s="49">
        <v>153.69999999999999</v>
      </c>
      <c r="F98" s="49">
        <v>590.69999999999993</v>
      </c>
    </row>
    <row r="99" spans="1:6" x14ac:dyDescent="0.3">
      <c r="A99" s="50" t="s">
        <v>33</v>
      </c>
      <c r="B99" s="50">
        <v>2019</v>
      </c>
      <c r="C99" s="50" t="s">
        <v>43</v>
      </c>
      <c r="D99" s="50">
        <v>1772.4</v>
      </c>
      <c r="E99" s="50">
        <v>142.4</v>
      </c>
      <c r="F99" s="50">
        <v>693.8</v>
      </c>
    </row>
    <row r="100" spans="1:6" x14ac:dyDescent="0.3">
      <c r="A100" s="49" t="s">
        <v>34</v>
      </c>
      <c r="B100" s="49">
        <v>2019</v>
      </c>
      <c r="C100" s="49" t="s">
        <v>43</v>
      </c>
      <c r="D100" s="49">
        <v>1750.4999999999998</v>
      </c>
      <c r="E100" s="49">
        <v>149.4</v>
      </c>
      <c r="F100" s="49">
        <v>720.3</v>
      </c>
    </row>
    <row r="101" spans="1:6" x14ac:dyDescent="0.3">
      <c r="A101" s="50" t="s">
        <v>30</v>
      </c>
      <c r="B101" s="50">
        <v>2019</v>
      </c>
      <c r="C101" s="50" t="s">
        <v>45</v>
      </c>
      <c r="D101" s="50">
        <v>1765.9</v>
      </c>
      <c r="E101" s="50">
        <v>154.30000000000001</v>
      </c>
      <c r="F101" s="50">
        <v>592.20000000000005</v>
      </c>
    </row>
    <row r="102" spans="1:6" x14ac:dyDescent="0.3">
      <c r="A102" s="49" t="s">
        <v>33</v>
      </c>
      <c r="B102" s="49">
        <v>2019</v>
      </c>
      <c r="C102" s="49" t="s">
        <v>45</v>
      </c>
      <c r="D102" s="49">
        <v>1793.4999999999998</v>
      </c>
      <c r="E102" s="49">
        <v>142.80000000000001</v>
      </c>
      <c r="F102" s="49">
        <v>698.3</v>
      </c>
    </row>
    <row r="103" spans="1:6" x14ac:dyDescent="0.3">
      <c r="A103" s="50" t="s">
        <v>34</v>
      </c>
      <c r="B103" s="50">
        <v>2019</v>
      </c>
      <c r="C103" s="50" t="s">
        <v>45</v>
      </c>
      <c r="D103" s="50">
        <v>1775.6000000000001</v>
      </c>
      <c r="E103" s="50">
        <v>149.9</v>
      </c>
      <c r="F103" s="50">
        <v>723.2</v>
      </c>
    </row>
    <row r="104" spans="1:6" x14ac:dyDescent="0.3">
      <c r="A104" s="49" t="s">
        <v>30</v>
      </c>
      <c r="B104" s="49">
        <v>2019</v>
      </c>
      <c r="C104" s="49" t="s">
        <v>46</v>
      </c>
      <c r="D104" s="49">
        <v>1801.6999999999996</v>
      </c>
      <c r="E104" s="49">
        <v>154.80000000000001</v>
      </c>
      <c r="F104" s="49">
        <v>597.20000000000005</v>
      </c>
    </row>
    <row r="105" spans="1:6" x14ac:dyDescent="0.3">
      <c r="A105" s="50" t="s">
        <v>33</v>
      </c>
      <c r="B105" s="50">
        <v>2019</v>
      </c>
      <c r="C105" s="50" t="s">
        <v>46</v>
      </c>
      <c r="D105" s="50">
        <v>1825.9</v>
      </c>
      <c r="E105" s="50">
        <v>143.19999999999999</v>
      </c>
      <c r="F105" s="50">
        <v>703.3</v>
      </c>
    </row>
    <row r="106" spans="1:6" x14ac:dyDescent="0.3">
      <c r="A106" s="49" t="s">
        <v>34</v>
      </c>
      <c r="B106" s="49">
        <v>2019</v>
      </c>
      <c r="C106" s="49" t="s">
        <v>46</v>
      </c>
      <c r="D106" s="49">
        <v>1810.3000000000002</v>
      </c>
      <c r="E106" s="49">
        <v>150.4</v>
      </c>
      <c r="F106" s="49">
        <v>727.8</v>
      </c>
    </row>
    <row r="107" spans="1:6" x14ac:dyDescent="0.3">
      <c r="A107" s="50" t="s">
        <v>30</v>
      </c>
      <c r="B107" s="50">
        <v>2020</v>
      </c>
      <c r="C107" s="50" t="s">
        <v>31</v>
      </c>
      <c r="D107" s="50">
        <v>1798.8999999999999</v>
      </c>
      <c r="E107" s="50">
        <v>155.69999999999999</v>
      </c>
      <c r="F107" s="50">
        <v>600.1</v>
      </c>
    </row>
    <row r="108" spans="1:6" x14ac:dyDescent="0.3">
      <c r="A108" s="49" t="s">
        <v>33</v>
      </c>
      <c r="B108" s="49">
        <v>2020</v>
      </c>
      <c r="C108" s="49" t="s">
        <v>31</v>
      </c>
      <c r="D108" s="49">
        <v>1814.3</v>
      </c>
      <c r="E108" s="49">
        <v>143.80000000000001</v>
      </c>
      <c r="F108" s="49">
        <v>707.30000000000007</v>
      </c>
    </row>
    <row r="109" spans="1:6" x14ac:dyDescent="0.3">
      <c r="A109" s="50" t="s">
        <v>34</v>
      </c>
      <c r="B109" s="50">
        <v>2020</v>
      </c>
      <c r="C109" s="50" t="s">
        <v>31</v>
      </c>
      <c r="D109" s="50">
        <v>1804.3</v>
      </c>
      <c r="E109" s="50">
        <v>151.19999999999999</v>
      </c>
      <c r="F109" s="50">
        <v>731.7</v>
      </c>
    </row>
    <row r="110" spans="1:6" x14ac:dyDescent="0.3">
      <c r="A110" s="49" t="s">
        <v>30</v>
      </c>
      <c r="B110" s="49">
        <v>2020</v>
      </c>
      <c r="C110" s="49" t="s">
        <v>35</v>
      </c>
      <c r="D110" s="49">
        <v>1769.6999999999998</v>
      </c>
      <c r="E110" s="49">
        <v>156.19999999999999</v>
      </c>
      <c r="F110" s="49">
        <v>602</v>
      </c>
    </row>
    <row r="111" spans="1:6" x14ac:dyDescent="0.3">
      <c r="A111" s="50" t="s">
        <v>33</v>
      </c>
      <c r="B111" s="50">
        <v>2020</v>
      </c>
      <c r="C111" s="50" t="s">
        <v>35</v>
      </c>
      <c r="D111" s="50">
        <v>1785.1</v>
      </c>
      <c r="E111" s="50">
        <v>144.4</v>
      </c>
      <c r="F111" s="50">
        <v>711.5</v>
      </c>
    </row>
    <row r="112" spans="1:6" x14ac:dyDescent="0.3">
      <c r="A112" s="49" t="s">
        <v>34</v>
      </c>
      <c r="B112" s="49">
        <v>2020</v>
      </c>
      <c r="C112" s="49" t="s">
        <v>35</v>
      </c>
      <c r="D112" s="49">
        <v>1775.1</v>
      </c>
      <c r="E112" s="49">
        <v>151.69999999999999</v>
      </c>
      <c r="F112" s="49">
        <v>734.90000000000009</v>
      </c>
    </row>
    <row r="113" spans="1:6" x14ac:dyDescent="0.3">
      <c r="A113" s="50" t="s">
        <v>30</v>
      </c>
      <c r="B113" s="50">
        <v>2020</v>
      </c>
      <c r="C113" s="50" t="s">
        <v>36</v>
      </c>
      <c r="D113" s="50">
        <v>1754.4999999999998</v>
      </c>
      <c r="E113" s="50">
        <v>156.69999999999999</v>
      </c>
      <c r="F113" s="50">
        <v>601.9</v>
      </c>
    </row>
    <row r="114" spans="1:6" x14ac:dyDescent="0.3">
      <c r="A114" s="49" t="s">
        <v>33</v>
      </c>
      <c r="B114" s="49">
        <v>2020</v>
      </c>
      <c r="C114" s="49" t="s">
        <v>36</v>
      </c>
      <c r="D114" s="49">
        <v>1766.6</v>
      </c>
      <c r="E114" s="49">
        <v>145</v>
      </c>
      <c r="F114" s="49">
        <v>713.8</v>
      </c>
    </row>
    <row r="115" spans="1:6" x14ac:dyDescent="0.3">
      <c r="A115" s="50" t="s">
        <v>34</v>
      </c>
      <c r="B115" s="50">
        <v>2020</v>
      </c>
      <c r="C115" s="50" t="s">
        <v>36</v>
      </c>
      <c r="D115" s="50">
        <v>1758.7</v>
      </c>
      <c r="E115" s="50">
        <v>152.30000000000001</v>
      </c>
      <c r="F115" s="50">
        <v>735.8</v>
      </c>
    </row>
    <row r="116" spans="1:6" x14ac:dyDescent="0.3">
      <c r="A116" s="49" t="s">
        <v>30</v>
      </c>
      <c r="B116" s="49">
        <v>2020</v>
      </c>
      <c r="C116" s="49" t="s">
        <v>37</v>
      </c>
      <c r="D116" s="49">
        <v>1475.6000000000001</v>
      </c>
      <c r="E116" s="49">
        <v>154.30000000000001</v>
      </c>
      <c r="F116" s="49">
        <v>148.4</v>
      </c>
    </row>
    <row r="117" spans="1:6" x14ac:dyDescent="0.3">
      <c r="A117" s="50" t="s">
        <v>33</v>
      </c>
      <c r="B117" s="50">
        <v>2020</v>
      </c>
      <c r="C117" s="50" t="s">
        <v>37</v>
      </c>
      <c r="D117" s="50">
        <v>1503.2</v>
      </c>
      <c r="E117" s="50">
        <v>144.80000000000001</v>
      </c>
      <c r="F117" s="50">
        <v>292.7</v>
      </c>
    </row>
    <row r="118" spans="1:6" x14ac:dyDescent="0.3">
      <c r="A118" s="49" t="s">
        <v>34</v>
      </c>
      <c r="B118" s="49">
        <v>2020</v>
      </c>
      <c r="C118" s="49" t="s">
        <v>37</v>
      </c>
      <c r="D118" s="49">
        <v>1485.9</v>
      </c>
      <c r="E118" s="49">
        <v>150.69999999999999</v>
      </c>
      <c r="F118" s="49">
        <v>299.7</v>
      </c>
    </row>
    <row r="119" spans="1:6" x14ac:dyDescent="0.3">
      <c r="A119" s="50" t="s">
        <v>30</v>
      </c>
      <c r="B119" s="50">
        <v>2020</v>
      </c>
      <c r="C119" s="50" t="s">
        <v>38</v>
      </c>
      <c r="D119" s="50">
        <v>0</v>
      </c>
      <c r="E119" s="50" t="s">
        <v>32</v>
      </c>
      <c r="F119" s="50">
        <v>0</v>
      </c>
    </row>
    <row r="120" spans="1:6" x14ac:dyDescent="0.3">
      <c r="A120" s="49" t="s">
        <v>33</v>
      </c>
      <c r="B120" s="49">
        <v>2020</v>
      </c>
      <c r="C120" s="49" t="s">
        <v>38</v>
      </c>
      <c r="D120" s="49">
        <v>0</v>
      </c>
      <c r="E120" s="49" t="s">
        <v>32</v>
      </c>
      <c r="F120" s="49">
        <v>0</v>
      </c>
    </row>
    <row r="121" spans="1:6" x14ac:dyDescent="0.3">
      <c r="A121" s="50" t="s">
        <v>34</v>
      </c>
      <c r="B121" s="50">
        <v>2020</v>
      </c>
      <c r="C121" s="50" t="s">
        <v>38</v>
      </c>
      <c r="D121" s="50">
        <v>0</v>
      </c>
      <c r="E121" s="50" t="s">
        <v>32</v>
      </c>
      <c r="F121" s="50">
        <v>0</v>
      </c>
    </row>
    <row r="122" spans="1:6" x14ac:dyDescent="0.3">
      <c r="A122" s="49" t="s">
        <v>30</v>
      </c>
      <c r="B122" s="49">
        <v>2020</v>
      </c>
      <c r="C122" s="49" t="s">
        <v>39</v>
      </c>
      <c r="D122" s="49">
        <v>1808.9</v>
      </c>
      <c r="E122" s="49">
        <v>158.19999999999999</v>
      </c>
      <c r="F122" s="49">
        <v>599.79999999999995</v>
      </c>
    </row>
    <row r="123" spans="1:6" x14ac:dyDescent="0.3">
      <c r="A123" s="50" t="s">
        <v>33</v>
      </c>
      <c r="B123" s="50">
        <v>2020</v>
      </c>
      <c r="C123" s="50" t="s">
        <v>39</v>
      </c>
      <c r="D123" s="50">
        <v>1859.3999999999999</v>
      </c>
      <c r="E123" s="50">
        <v>148.1</v>
      </c>
      <c r="F123" s="50">
        <v>714</v>
      </c>
    </row>
    <row r="124" spans="1:6" x14ac:dyDescent="0.3">
      <c r="A124" s="49" t="s">
        <v>34</v>
      </c>
      <c r="B124" s="49">
        <v>2020</v>
      </c>
      <c r="C124" s="49" t="s">
        <v>39</v>
      </c>
      <c r="D124" s="49">
        <v>1827.4</v>
      </c>
      <c r="E124" s="49">
        <v>154.4</v>
      </c>
      <c r="F124" s="49">
        <v>734.4</v>
      </c>
    </row>
    <row r="125" spans="1:6" x14ac:dyDescent="0.3">
      <c r="A125" s="50" t="s">
        <v>30</v>
      </c>
      <c r="B125" s="50">
        <v>2020</v>
      </c>
      <c r="C125" s="50" t="s">
        <v>40</v>
      </c>
      <c r="D125" s="50">
        <v>1808.9</v>
      </c>
      <c r="E125" s="50">
        <v>158.19999999999999</v>
      </c>
      <c r="F125" s="50">
        <v>599.79999999999995</v>
      </c>
    </row>
    <row r="126" spans="1:6" x14ac:dyDescent="0.3">
      <c r="A126" s="49" t="s">
        <v>33</v>
      </c>
      <c r="B126" s="49">
        <v>2020</v>
      </c>
      <c r="C126" s="49" t="s">
        <v>40</v>
      </c>
      <c r="D126" s="49">
        <v>1859.3999999999999</v>
      </c>
      <c r="E126" s="49">
        <v>148.1</v>
      </c>
      <c r="F126" s="49">
        <v>714</v>
      </c>
    </row>
    <row r="127" spans="1:6" x14ac:dyDescent="0.3">
      <c r="A127" s="50" t="s">
        <v>34</v>
      </c>
      <c r="B127" s="50">
        <v>2020</v>
      </c>
      <c r="C127" s="50" t="s">
        <v>40</v>
      </c>
      <c r="D127" s="50">
        <v>1827.4</v>
      </c>
      <c r="E127" s="50">
        <v>154.4</v>
      </c>
      <c r="F127" s="50">
        <v>734.4</v>
      </c>
    </row>
    <row r="128" spans="1:6" x14ac:dyDescent="0.3">
      <c r="A128" s="49" t="s">
        <v>30</v>
      </c>
      <c r="B128" s="49">
        <v>2020</v>
      </c>
      <c r="C128" s="49" t="s">
        <v>41</v>
      </c>
      <c r="D128" s="49">
        <v>1835.1</v>
      </c>
      <c r="E128" s="49">
        <v>158.80000000000001</v>
      </c>
      <c r="F128" s="49">
        <v>604</v>
      </c>
    </row>
    <row r="129" spans="1:6" x14ac:dyDescent="0.3">
      <c r="A129" s="50" t="s">
        <v>33</v>
      </c>
      <c r="B129" s="50">
        <v>2020</v>
      </c>
      <c r="C129" s="50" t="s">
        <v>41</v>
      </c>
      <c r="D129" s="50">
        <v>1888.3999999999999</v>
      </c>
      <c r="E129" s="50">
        <v>148.69999999999999</v>
      </c>
      <c r="F129" s="50">
        <v>727.7</v>
      </c>
    </row>
    <row r="130" spans="1:6" x14ac:dyDescent="0.3">
      <c r="A130" s="49" t="s">
        <v>34</v>
      </c>
      <c r="B130" s="49">
        <v>2020</v>
      </c>
      <c r="C130" s="49" t="s">
        <v>41</v>
      </c>
      <c r="D130" s="49">
        <v>1854.6</v>
      </c>
      <c r="E130" s="49">
        <v>155</v>
      </c>
      <c r="F130" s="49">
        <v>743.9</v>
      </c>
    </row>
    <row r="131" spans="1:6" x14ac:dyDescent="0.3">
      <c r="A131" s="50" t="s">
        <v>30</v>
      </c>
      <c r="B131" s="50">
        <v>2020</v>
      </c>
      <c r="C131" s="50" t="s">
        <v>42</v>
      </c>
      <c r="D131" s="50">
        <v>1841.9999999999998</v>
      </c>
      <c r="E131" s="50">
        <v>159.1</v>
      </c>
      <c r="F131" s="50">
        <v>603.70000000000005</v>
      </c>
    </row>
    <row r="132" spans="1:6" x14ac:dyDescent="0.3">
      <c r="A132" s="49" t="s">
        <v>33</v>
      </c>
      <c r="B132" s="49">
        <v>2020</v>
      </c>
      <c r="C132" s="49" t="s">
        <v>42</v>
      </c>
      <c r="D132" s="49">
        <v>1903.9</v>
      </c>
      <c r="E132" s="49">
        <v>150</v>
      </c>
      <c r="F132" s="49">
        <v>728.9</v>
      </c>
    </row>
    <row r="133" spans="1:6" x14ac:dyDescent="0.3">
      <c r="A133" s="50" t="s">
        <v>34</v>
      </c>
      <c r="B133" s="50">
        <v>2020</v>
      </c>
      <c r="C133" s="50" t="s">
        <v>42</v>
      </c>
      <c r="D133" s="50">
        <v>1864.8</v>
      </c>
      <c r="E133" s="50">
        <v>155.6</v>
      </c>
      <c r="F133" s="50">
        <v>745</v>
      </c>
    </row>
    <row r="134" spans="1:6" x14ac:dyDescent="0.3">
      <c r="A134" s="49" t="s">
        <v>30</v>
      </c>
      <c r="B134" s="49">
        <v>2020</v>
      </c>
      <c r="C134" s="49" t="s">
        <v>43</v>
      </c>
      <c r="D134" s="49">
        <v>1883.5</v>
      </c>
      <c r="E134" s="49">
        <v>159.5</v>
      </c>
      <c r="F134" s="49">
        <v>607.70000000000005</v>
      </c>
    </row>
    <row r="135" spans="1:6" x14ac:dyDescent="0.3">
      <c r="A135" s="50" t="s">
        <v>33</v>
      </c>
      <c r="B135" s="50">
        <v>2020</v>
      </c>
      <c r="C135" s="50" t="s">
        <v>43</v>
      </c>
      <c r="D135" s="50">
        <v>1941</v>
      </c>
      <c r="E135" s="50">
        <v>151</v>
      </c>
      <c r="F135" s="50">
        <v>729.8</v>
      </c>
    </row>
    <row r="136" spans="1:6" x14ac:dyDescent="0.3">
      <c r="A136" s="49" t="s">
        <v>34</v>
      </c>
      <c r="B136" s="49">
        <v>2020</v>
      </c>
      <c r="C136" s="49" t="s">
        <v>43</v>
      </c>
      <c r="D136" s="49">
        <v>1904.6000000000004</v>
      </c>
      <c r="E136" s="49">
        <v>156.30000000000001</v>
      </c>
      <c r="F136" s="49">
        <v>747.4</v>
      </c>
    </row>
    <row r="137" spans="1:6" x14ac:dyDescent="0.3">
      <c r="A137" s="50" t="s">
        <v>30</v>
      </c>
      <c r="B137" s="50">
        <v>2020</v>
      </c>
      <c r="C137" s="50" t="s">
        <v>45</v>
      </c>
      <c r="D137" s="50">
        <v>1932.4000000000003</v>
      </c>
      <c r="E137" s="50">
        <v>160.4</v>
      </c>
      <c r="F137" s="50">
        <v>608</v>
      </c>
    </row>
    <row r="138" spans="1:6" x14ac:dyDescent="0.3">
      <c r="A138" s="49" t="s">
        <v>33</v>
      </c>
      <c r="B138" s="49">
        <v>2020</v>
      </c>
      <c r="C138" s="49" t="s">
        <v>45</v>
      </c>
      <c r="D138" s="49">
        <v>1979.2</v>
      </c>
      <c r="E138" s="49">
        <v>152</v>
      </c>
      <c r="F138" s="49">
        <v>731.99999999999989</v>
      </c>
    </row>
    <row r="139" spans="1:6" x14ac:dyDescent="0.3">
      <c r="A139" s="50" t="s">
        <v>34</v>
      </c>
      <c r="B139" s="50">
        <v>2020</v>
      </c>
      <c r="C139" s="50" t="s">
        <v>45</v>
      </c>
      <c r="D139" s="50">
        <v>1949.1000000000001</v>
      </c>
      <c r="E139" s="50">
        <v>157.19999999999999</v>
      </c>
      <c r="F139" s="50">
        <v>749.80000000000007</v>
      </c>
    </row>
    <row r="140" spans="1:6" x14ac:dyDescent="0.3">
      <c r="A140" s="49" t="s">
        <v>30</v>
      </c>
      <c r="B140" s="49">
        <v>2020</v>
      </c>
      <c r="C140" s="49" t="s">
        <v>46</v>
      </c>
      <c r="D140" s="49">
        <v>1947.1</v>
      </c>
      <c r="E140" s="49">
        <v>161.6</v>
      </c>
      <c r="F140" s="49">
        <v>611.4</v>
      </c>
    </row>
    <row r="141" spans="1:6" x14ac:dyDescent="0.3">
      <c r="A141" s="50" t="s">
        <v>33</v>
      </c>
      <c r="B141" s="50">
        <v>2020</v>
      </c>
      <c r="C141" s="50" t="s">
        <v>46</v>
      </c>
      <c r="D141" s="50">
        <v>1982.1000000000001</v>
      </c>
      <c r="E141" s="50">
        <v>152.9</v>
      </c>
      <c r="F141" s="50">
        <v>734.19999999999993</v>
      </c>
    </row>
    <row r="142" spans="1:6" x14ac:dyDescent="0.3">
      <c r="A142" s="49" t="s">
        <v>34</v>
      </c>
      <c r="B142" s="49">
        <v>2020</v>
      </c>
      <c r="C142" s="49" t="s">
        <v>46</v>
      </c>
      <c r="D142" s="49">
        <v>1959.9</v>
      </c>
      <c r="E142" s="49">
        <v>158.30000000000001</v>
      </c>
      <c r="F142" s="49">
        <v>752.8</v>
      </c>
    </row>
    <row r="143" spans="1:6" x14ac:dyDescent="0.3">
      <c r="A143" s="50" t="s">
        <v>30</v>
      </c>
      <c r="B143" s="50">
        <v>2021</v>
      </c>
      <c r="C143" s="50" t="s">
        <v>31</v>
      </c>
      <c r="D143" s="50">
        <v>1909.5999999999997</v>
      </c>
      <c r="E143" s="50">
        <v>162.5</v>
      </c>
      <c r="F143" s="50">
        <v>615.79999999999995</v>
      </c>
    </row>
    <row r="144" spans="1:6" x14ac:dyDescent="0.3">
      <c r="A144" s="49" t="s">
        <v>33</v>
      </c>
      <c r="B144" s="49">
        <v>2021</v>
      </c>
      <c r="C144" s="49" t="s">
        <v>31</v>
      </c>
      <c r="D144" s="49">
        <v>1951.1000000000001</v>
      </c>
      <c r="E144" s="49">
        <v>154.1</v>
      </c>
      <c r="F144" s="49">
        <v>739.30000000000007</v>
      </c>
    </row>
    <row r="145" spans="1:6" x14ac:dyDescent="0.3">
      <c r="A145" s="50" t="s">
        <v>34</v>
      </c>
      <c r="B145" s="50">
        <v>2021</v>
      </c>
      <c r="C145" s="50" t="s">
        <v>31</v>
      </c>
      <c r="D145" s="50">
        <v>1924.6999999999998</v>
      </c>
      <c r="E145" s="50">
        <v>159.30000000000001</v>
      </c>
      <c r="F145" s="50">
        <v>756.7</v>
      </c>
    </row>
    <row r="146" spans="1:6" x14ac:dyDescent="0.3">
      <c r="A146" s="49" t="s">
        <v>30</v>
      </c>
      <c r="B146" s="49">
        <v>2021</v>
      </c>
      <c r="C146" s="49" t="s">
        <v>35</v>
      </c>
      <c r="D146" s="49">
        <v>1865.3</v>
      </c>
      <c r="E146" s="49">
        <v>164.3</v>
      </c>
      <c r="F146" s="49">
        <v>623</v>
      </c>
    </row>
    <row r="147" spans="1:6" x14ac:dyDescent="0.3">
      <c r="A147" s="50" t="s">
        <v>33</v>
      </c>
      <c r="B147" s="50">
        <v>2021</v>
      </c>
      <c r="C147" s="50" t="s">
        <v>35</v>
      </c>
      <c r="D147" s="50">
        <v>1916.8</v>
      </c>
      <c r="E147" s="50">
        <v>156.30000000000001</v>
      </c>
      <c r="F147" s="50">
        <v>752.5</v>
      </c>
    </row>
    <row r="148" spans="1:6" x14ac:dyDescent="0.3">
      <c r="A148" s="49" t="s">
        <v>34</v>
      </c>
      <c r="B148" s="49">
        <v>2021</v>
      </c>
      <c r="C148" s="49" t="s">
        <v>35</v>
      </c>
      <c r="D148" s="49">
        <v>1883.8000000000002</v>
      </c>
      <c r="E148" s="49">
        <v>161.30000000000001</v>
      </c>
      <c r="F148" s="49">
        <v>767.7</v>
      </c>
    </row>
    <row r="149" spans="1:6" x14ac:dyDescent="0.3">
      <c r="A149" s="50" t="s">
        <v>30</v>
      </c>
      <c r="B149" s="50">
        <v>2021</v>
      </c>
      <c r="C149" s="50" t="s">
        <v>36</v>
      </c>
      <c r="D149" s="50">
        <v>1865.1000000000001</v>
      </c>
      <c r="E149" s="50">
        <v>164.6</v>
      </c>
      <c r="F149" s="50">
        <v>625.90000000000009</v>
      </c>
    </row>
    <row r="150" spans="1:6" x14ac:dyDescent="0.3">
      <c r="A150" s="49" t="s">
        <v>33</v>
      </c>
      <c r="B150" s="49">
        <v>2021</v>
      </c>
      <c r="C150" s="49" t="s">
        <v>36</v>
      </c>
      <c r="D150" s="49">
        <v>1913.7999999999997</v>
      </c>
      <c r="E150" s="49">
        <v>156.9</v>
      </c>
      <c r="F150" s="49">
        <v>761.2</v>
      </c>
    </row>
    <row r="151" spans="1:6" x14ac:dyDescent="0.3">
      <c r="A151" s="50" t="s">
        <v>34</v>
      </c>
      <c r="B151" s="50">
        <v>2021</v>
      </c>
      <c r="C151" s="50" t="s">
        <v>36</v>
      </c>
      <c r="D151" s="50">
        <v>1882.8999999999999</v>
      </c>
      <c r="E151" s="50">
        <v>161.69999999999999</v>
      </c>
      <c r="F151" s="50">
        <v>773</v>
      </c>
    </row>
    <row r="152" spans="1:6" x14ac:dyDescent="0.3">
      <c r="A152" s="49" t="s">
        <v>30</v>
      </c>
      <c r="B152" s="49">
        <v>2021</v>
      </c>
      <c r="C152" s="49" t="s">
        <v>37</v>
      </c>
      <c r="D152" s="49">
        <v>1887.6</v>
      </c>
      <c r="E152" s="49">
        <v>165.3</v>
      </c>
      <c r="F152" s="49">
        <v>627.29999999999995</v>
      </c>
    </row>
    <row r="153" spans="1:6" x14ac:dyDescent="0.3">
      <c r="A153" s="50" t="s">
        <v>33</v>
      </c>
      <c r="B153" s="50">
        <v>2021</v>
      </c>
      <c r="C153" s="50" t="s">
        <v>37</v>
      </c>
      <c r="D153" s="50">
        <v>1938.1</v>
      </c>
      <c r="E153" s="50">
        <v>157.5</v>
      </c>
      <c r="F153" s="50">
        <v>763.6</v>
      </c>
    </row>
    <row r="154" spans="1:6" x14ac:dyDescent="0.3">
      <c r="A154" s="49" t="s">
        <v>34</v>
      </c>
      <c r="B154" s="49">
        <v>2021</v>
      </c>
      <c r="C154" s="49" t="s">
        <v>37</v>
      </c>
      <c r="D154" s="49">
        <v>1906.5</v>
      </c>
      <c r="E154" s="49">
        <v>162.30000000000001</v>
      </c>
      <c r="F154" s="49">
        <v>775.7</v>
      </c>
    </row>
    <row r="155" spans="1:6" x14ac:dyDescent="0.3">
      <c r="A155" s="50" t="s">
        <v>30</v>
      </c>
      <c r="B155" s="50">
        <v>2021</v>
      </c>
      <c r="C155" s="50" t="s">
        <v>38</v>
      </c>
      <c r="D155" s="50">
        <v>1930.7</v>
      </c>
      <c r="E155" s="50">
        <v>169.1</v>
      </c>
      <c r="F155" s="50">
        <v>641.29999999999995</v>
      </c>
    </row>
    <row r="156" spans="1:6" x14ac:dyDescent="0.3">
      <c r="A156" s="49" t="s">
        <v>33</v>
      </c>
      <c r="B156" s="49">
        <v>2021</v>
      </c>
      <c r="C156" s="49" t="s">
        <v>38</v>
      </c>
      <c r="D156" s="49">
        <v>1972.7000000000003</v>
      </c>
      <c r="E156" s="49">
        <v>160.4</v>
      </c>
      <c r="F156" s="49">
        <v>768.80000000000007</v>
      </c>
    </row>
    <row r="157" spans="1:6" x14ac:dyDescent="0.3">
      <c r="A157" s="50" t="s">
        <v>34</v>
      </c>
      <c r="B157" s="50">
        <v>2021</v>
      </c>
      <c r="C157" s="50" t="s">
        <v>38</v>
      </c>
      <c r="D157" s="50">
        <v>1946.4000000000003</v>
      </c>
      <c r="E157" s="50">
        <v>165.8</v>
      </c>
      <c r="F157" s="50">
        <v>785.8</v>
      </c>
    </row>
    <row r="158" spans="1:6" x14ac:dyDescent="0.3">
      <c r="A158" s="49" t="s">
        <v>30</v>
      </c>
      <c r="B158" s="49">
        <v>2021</v>
      </c>
      <c r="C158" s="49" t="s">
        <v>39</v>
      </c>
      <c r="D158" s="49">
        <v>1957.1</v>
      </c>
      <c r="E158" s="49">
        <v>169.7</v>
      </c>
      <c r="F158" s="49">
        <v>642.29999999999995</v>
      </c>
    </row>
    <row r="159" spans="1:6" x14ac:dyDescent="0.3">
      <c r="A159" s="50" t="s">
        <v>33</v>
      </c>
      <c r="B159" s="50">
        <v>2021</v>
      </c>
      <c r="C159" s="50" t="s">
        <v>39</v>
      </c>
      <c r="D159" s="50">
        <v>2001.9</v>
      </c>
      <c r="E159" s="50">
        <v>160.80000000000001</v>
      </c>
      <c r="F159" s="50">
        <v>772.00000000000011</v>
      </c>
    </row>
    <row r="160" spans="1:6" x14ac:dyDescent="0.3">
      <c r="A160" s="49" t="s">
        <v>34</v>
      </c>
      <c r="B160" s="49">
        <v>2021</v>
      </c>
      <c r="C160" s="49" t="s">
        <v>39</v>
      </c>
      <c r="D160" s="49">
        <v>1973.8999999999999</v>
      </c>
      <c r="E160" s="49">
        <v>166.3</v>
      </c>
      <c r="F160" s="49">
        <v>787.5</v>
      </c>
    </row>
    <row r="161" spans="1:6" x14ac:dyDescent="0.3">
      <c r="A161" s="50" t="s">
        <v>30</v>
      </c>
      <c r="B161" s="50">
        <v>2021</v>
      </c>
      <c r="C161" s="50" t="s">
        <v>40</v>
      </c>
      <c r="D161" s="50">
        <v>1966.2</v>
      </c>
      <c r="E161" s="50">
        <v>170.4</v>
      </c>
      <c r="F161" s="50">
        <v>647.09999999999991</v>
      </c>
    </row>
    <row r="162" spans="1:6" x14ac:dyDescent="0.3">
      <c r="A162" s="49" t="s">
        <v>33</v>
      </c>
      <c r="B162" s="49">
        <v>2021</v>
      </c>
      <c r="C162" s="49" t="s">
        <v>40</v>
      </c>
      <c r="D162" s="49">
        <v>2018.4000000000003</v>
      </c>
      <c r="E162" s="49">
        <v>161.5</v>
      </c>
      <c r="F162" s="49">
        <v>779.7</v>
      </c>
    </row>
    <row r="163" spans="1:6" x14ac:dyDescent="0.3">
      <c r="A163" s="50" t="s">
        <v>34</v>
      </c>
      <c r="B163" s="50">
        <v>2021</v>
      </c>
      <c r="C163" s="50" t="s">
        <v>40</v>
      </c>
      <c r="D163" s="50">
        <v>1986.1000000000001</v>
      </c>
      <c r="E163" s="50">
        <v>167</v>
      </c>
      <c r="F163" s="50">
        <v>794.3</v>
      </c>
    </row>
    <row r="164" spans="1:6" x14ac:dyDescent="0.3">
      <c r="A164" s="49" t="s">
        <v>30</v>
      </c>
      <c r="B164" s="49">
        <v>2021</v>
      </c>
      <c r="C164" s="49" t="s">
        <v>41</v>
      </c>
      <c r="D164" s="49">
        <v>1963.2</v>
      </c>
      <c r="E164" s="49">
        <v>171.1</v>
      </c>
      <c r="F164" s="49">
        <v>649.20000000000005</v>
      </c>
    </row>
    <row r="165" spans="1:6" x14ac:dyDescent="0.3">
      <c r="A165" s="50" t="s">
        <v>33</v>
      </c>
      <c r="B165" s="50">
        <v>2021</v>
      </c>
      <c r="C165" s="50" t="s">
        <v>41</v>
      </c>
      <c r="D165" s="50">
        <v>2003.1</v>
      </c>
      <c r="E165" s="50">
        <v>162.80000000000001</v>
      </c>
      <c r="F165" s="50">
        <v>786.8</v>
      </c>
    </row>
    <row r="166" spans="1:6" x14ac:dyDescent="0.3">
      <c r="A166" s="49" t="s">
        <v>34</v>
      </c>
      <c r="B166" s="49">
        <v>2021</v>
      </c>
      <c r="C166" s="49" t="s">
        <v>41</v>
      </c>
      <c r="D166" s="49">
        <v>1979.3000000000002</v>
      </c>
      <c r="E166" s="49">
        <v>168.4</v>
      </c>
      <c r="F166" s="49">
        <v>800</v>
      </c>
    </row>
    <row r="167" spans="1:6" x14ac:dyDescent="0.3">
      <c r="A167" s="50" t="s">
        <v>30</v>
      </c>
      <c r="B167" s="50">
        <v>2021</v>
      </c>
      <c r="C167" s="50" t="s">
        <v>42</v>
      </c>
      <c r="D167" s="50">
        <v>1965.3</v>
      </c>
      <c r="E167" s="50">
        <v>171.9</v>
      </c>
      <c r="F167" s="50">
        <v>651.29999999999995</v>
      </c>
    </row>
    <row r="168" spans="1:6" x14ac:dyDescent="0.3">
      <c r="A168" s="49" t="s">
        <v>33</v>
      </c>
      <c r="B168" s="49">
        <v>2021</v>
      </c>
      <c r="C168" s="49" t="s">
        <v>42</v>
      </c>
      <c r="D168" s="49">
        <v>2003.1000000000001</v>
      </c>
      <c r="E168" s="49">
        <v>162.80000000000001</v>
      </c>
      <c r="F168" s="49">
        <v>787</v>
      </c>
    </row>
    <row r="169" spans="1:6" x14ac:dyDescent="0.3">
      <c r="A169" s="50" t="s">
        <v>34</v>
      </c>
      <c r="B169" s="50">
        <v>2021</v>
      </c>
      <c r="C169" s="50" t="s">
        <v>42</v>
      </c>
      <c r="D169" s="50">
        <v>1979.3</v>
      </c>
      <c r="E169" s="50">
        <v>168.4</v>
      </c>
      <c r="F169" s="50">
        <v>799.90000000000009</v>
      </c>
    </row>
    <row r="170" spans="1:6" x14ac:dyDescent="0.3">
      <c r="A170" s="49" t="s">
        <v>30</v>
      </c>
      <c r="B170" s="49">
        <v>2021</v>
      </c>
      <c r="C170" s="49" t="s">
        <v>43</v>
      </c>
      <c r="D170" s="49">
        <v>1995.3999999999999</v>
      </c>
      <c r="E170" s="49">
        <v>172.5</v>
      </c>
      <c r="F170" s="49">
        <v>656</v>
      </c>
    </row>
    <row r="171" spans="1:6" x14ac:dyDescent="0.3">
      <c r="A171" s="50" t="s">
        <v>33</v>
      </c>
      <c r="B171" s="50">
        <v>2021</v>
      </c>
      <c r="C171" s="50" t="s">
        <v>43</v>
      </c>
      <c r="D171" s="50">
        <v>2043.0000000000002</v>
      </c>
      <c r="E171" s="50">
        <v>163.5</v>
      </c>
      <c r="F171" s="50">
        <v>792.59999999999991</v>
      </c>
    </row>
    <row r="172" spans="1:6" x14ac:dyDescent="0.3">
      <c r="A172" s="49" t="s">
        <v>34</v>
      </c>
      <c r="B172" s="49">
        <v>2021</v>
      </c>
      <c r="C172" s="49" t="s">
        <v>43</v>
      </c>
      <c r="D172" s="49">
        <v>2012.3000000000002</v>
      </c>
      <c r="E172" s="49">
        <v>169.1</v>
      </c>
      <c r="F172" s="49">
        <v>805.79999999999984</v>
      </c>
    </row>
    <row r="173" spans="1:6" x14ac:dyDescent="0.3">
      <c r="A173" s="50" t="s">
        <v>30</v>
      </c>
      <c r="B173" s="50">
        <v>2021</v>
      </c>
      <c r="C173" s="50" t="s">
        <v>45</v>
      </c>
      <c r="D173" s="50">
        <v>2012.9</v>
      </c>
      <c r="E173" s="50">
        <v>173.4</v>
      </c>
      <c r="F173" s="50">
        <v>656.40000000000009</v>
      </c>
    </row>
    <row r="174" spans="1:6" x14ac:dyDescent="0.3">
      <c r="A174" s="49" t="s">
        <v>33</v>
      </c>
      <c r="B174" s="49">
        <v>2021</v>
      </c>
      <c r="C174" s="49" t="s">
        <v>45</v>
      </c>
      <c r="D174" s="49">
        <v>2061.7999999999997</v>
      </c>
      <c r="E174" s="49">
        <v>164.2</v>
      </c>
      <c r="F174" s="49">
        <v>793</v>
      </c>
    </row>
    <row r="175" spans="1:6" x14ac:dyDescent="0.3">
      <c r="A175" s="50" t="s">
        <v>34</v>
      </c>
      <c r="B175" s="50">
        <v>2021</v>
      </c>
      <c r="C175" s="50" t="s">
        <v>45</v>
      </c>
      <c r="D175" s="50">
        <v>2030.3999999999999</v>
      </c>
      <c r="E175" s="50">
        <v>169.9</v>
      </c>
      <c r="F175" s="50">
        <v>806.5</v>
      </c>
    </row>
    <row r="176" spans="1:6" x14ac:dyDescent="0.3">
      <c r="A176" s="49" t="s">
        <v>30</v>
      </c>
      <c r="B176" s="49">
        <v>2021</v>
      </c>
      <c r="C176" s="49" t="s">
        <v>46</v>
      </c>
      <c r="D176" s="49">
        <v>1998.4999999999998</v>
      </c>
      <c r="E176" s="49">
        <v>174</v>
      </c>
      <c r="F176" s="49">
        <v>659.3</v>
      </c>
    </row>
    <row r="177" spans="1:6" x14ac:dyDescent="0.3">
      <c r="A177" s="50" t="s">
        <v>33</v>
      </c>
      <c r="B177" s="50">
        <v>2021</v>
      </c>
      <c r="C177" s="50" t="s">
        <v>46</v>
      </c>
      <c r="D177" s="50">
        <v>2049.8000000000002</v>
      </c>
      <c r="E177" s="50">
        <v>165.1</v>
      </c>
      <c r="F177" s="50">
        <v>793.50000000000011</v>
      </c>
    </row>
    <row r="178" spans="1:6" x14ac:dyDescent="0.3">
      <c r="A178" s="49" t="s">
        <v>34</v>
      </c>
      <c r="B178" s="49">
        <v>2021</v>
      </c>
      <c r="C178" s="49" t="s">
        <v>46</v>
      </c>
      <c r="D178" s="49">
        <v>2016.7</v>
      </c>
      <c r="E178" s="49">
        <v>170.6</v>
      </c>
      <c r="F178" s="49">
        <v>807.8</v>
      </c>
    </row>
    <row r="179" spans="1:6" x14ac:dyDescent="0.3">
      <c r="A179" s="50" t="s">
        <v>30</v>
      </c>
      <c r="B179" s="50">
        <v>2022</v>
      </c>
      <c r="C179" s="50" t="s">
        <v>31</v>
      </c>
      <c r="D179" s="50">
        <v>1983.1999999999998</v>
      </c>
      <c r="E179" s="50">
        <v>174.7</v>
      </c>
      <c r="F179" s="50">
        <v>661.40000000000009</v>
      </c>
    </row>
    <row r="180" spans="1:6" x14ac:dyDescent="0.3">
      <c r="A180" s="49" t="s">
        <v>33</v>
      </c>
      <c r="B180" s="49">
        <v>2022</v>
      </c>
      <c r="C180" s="49" t="s">
        <v>31</v>
      </c>
      <c r="D180" s="49">
        <v>2030.0999999999997</v>
      </c>
      <c r="E180" s="49">
        <v>166.1</v>
      </c>
      <c r="F180" s="49">
        <v>796.6</v>
      </c>
    </row>
    <row r="181" spans="1:6" x14ac:dyDescent="0.3">
      <c r="A181" s="50" t="s">
        <v>34</v>
      </c>
      <c r="B181" s="50">
        <v>2022</v>
      </c>
      <c r="C181" s="50" t="s">
        <v>31</v>
      </c>
      <c r="D181" s="50">
        <v>1999.9</v>
      </c>
      <c r="E181" s="50">
        <v>171.4</v>
      </c>
      <c r="F181" s="50">
        <v>811</v>
      </c>
    </row>
    <row r="182" spans="1:6" x14ac:dyDescent="0.3">
      <c r="A182" s="49" t="s">
        <v>30</v>
      </c>
      <c r="B182" s="49">
        <v>2022</v>
      </c>
      <c r="C182" s="49" t="s">
        <v>35</v>
      </c>
      <c r="D182" s="49">
        <v>1979.9</v>
      </c>
      <c r="E182" s="49">
        <v>175.3</v>
      </c>
      <c r="F182" s="49">
        <v>664.6</v>
      </c>
    </row>
    <row r="183" spans="1:6" x14ac:dyDescent="0.3">
      <c r="A183" s="50" t="s">
        <v>33</v>
      </c>
      <c r="B183" s="50">
        <v>2022</v>
      </c>
      <c r="C183" s="50" t="s">
        <v>35</v>
      </c>
      <c r="D183" s="50">
        <v>2026.8</v>
      </c>
      <c r="E183" s="50">
        <v>167.2</v>
      </c>
      <c r="F183" s="50">
        <v>801</v>
      </c>
    </row>
    <row r="184" spans="1:6" x14ac:dyDescent="0.3">
      <c r="A184" s="49" t="s">
        <v>34</v>
      </c>
      <c r="B184" s="49">
        <v>2022</v>
      </c>
      <c r="C184" s="49" t="s">
        <v>35</v>
      </c>
      <c r="D184" s="49">
        <v>1996.5000000000002</v>
      </c>
      <c r="E184" s="49">
        <v>172.2</v>
      </c>
      <c r="F184" s="49">
        <v>815.3</v>
      </c>
    </row>
    <row r="185" spans="1:6" x14ac:dyDescent="0.3">
      <c r="A185" s="50" t="s">
        <v>30</v>
      </c>
      <c r="B185" s="50">
        <v>2022</v>
      </c>
      <c r="C185" s="50" t="s">
        <v>36</v>
      </c>
      <c r="D185" s="50">
        <v>2007.9</v>
      </c>
      <c r="E185" s="50">
        <v>176</v>
      </c>
      <c r="F185" s="50">
        <v>668</v>
      </c>
    </row>
    <row r="186" spans="1:6" x14ac:dyDescent="0.3">
      <c r="A186" s="49" t="s">
        <v>33</v>
      </c>
      <c r="B186" s="49">
        <v>2022</v>
      </c>
      <c r="C186" s="49" t="s">
        <v>36</v>
      </c>
      <c r="D186" s="49">
        <v>2039.2000000000003</v>
      </c>
      <c r="E186" s="49">
        <v>168.2</v>
      </c>
      <c r="F186" s="49">
        <v>805.3</v>
      </c>
    </row>
    <row r="187" spans="1:6" x14ac:dyDescent="0.3">
      <c r="A187" s="50" t="s">
        <v>34</v>
      </c>
      <c r="B187" s="50">
        <v>2022</v>
      </c>
      <c r="C187" s="50" t="s">
        <v>36</v>
      </c>
      <c r="D187" s="50">
        <v>2018.9000000000003</v>
      </c>
      <c r="E187" s="50">
        <v>173</v>
      </c>
      <c r="F187" s="50">
        <v>819.2</v>
      </c>
    </row>
    <row r="188" spans="1:6" x14ac:dyDescent="0.3">
      <c r="A188" s="49" t="s">
        <v>30</v>
      </c>
      <c r="B188" s="49">
        <v>2022</v>
      </c>
      <c r="C188" s="49" t="s">
        <v>37</v>
      </c>
      <c r="D188" s="49">
        <v>2034.1999999999998</v>
      </c>
      <c r="E188" s="49">
        <v>177</v>
      </c>
      <c r="F188" s="49">
        <v>678.1</v>
      </c>
    </row>
    <row r="189" spans="1:6" x14ac:dyDescent="0.3">
      <c r="A189" s="50" t="s">
        <v>33</v>
      </c>
      <c r="B189" s="50">
        <v>2022</v>
      </c>
      <c r="C189" s="50" t="s">
        <v>37</v>
      </c>
      <c r="D189" s="50">
        <v>2072.9</v>
      </c>
      <c r="E189" s="50">
        <v>169</v>
      </c>
      <c r="F189" s="50">
        <v>820.6</v>
      </c>
    </row>
    <row r="190" spans="1:6" x14ac:dyDescent="0.3">
      <c r="A190" s="49" t="s">
        <v>34</v>
      </c>
      <c r="B190" s="49">
        <v>2022</v>
      </c>
      <c r="C190" s="49" t="s">
        <v>37</v>
      </c>
      <c r="D190" s="49">
        <v>2048.1000000000004</v>
      </c>
      <c r="E190" s="49">
        <v>174</v>
      </c>
      <c r="F190" s="49">
        <v>832.69999999999993</v>
      </c>
    </row>
    <row r="191" spans="1:6" x14ac:dyDescent="0.3">
      <c r="A191" s="50" t="s">
        <v>30</v>
      </c>
      <c r="B191" s="50">
        <v>2022</v>
      </c>
      <c r="C191" s="50" t="s">
        <v>38</v>
      </c>
      <c r="D191" s="50">
        <v>2053.6000000000004</v>
      </c>
      <c r="E191" s="50">
        <v>177.7</v>
      </c>
      <c r="F191" s="50">
        <v>683.10000000000014</v>
      </c>
    </row>
    <row r="192" spans="1:6" x14ac:dyDescent="0.3">
      <c r="A192" s="49" t="s">
        <v>33</v>
      </c>
      <c r="B192" s="49">
        <v>2022</v>
      </c>
      <c r="C192" s="49" t="s">
        <v>38</v>
      </c>
      <c r="D192" s="49">
        <v>2103.7000000000003</v>
      </c>
      <c r="E192" s="49">
        <v>170.1</v>
      </c>
      <c r="F192" s="49">
        <v>826.7</v>
      </c>
    </row>
    <row r="193" spans="1:6" x14ac:dyDescent="0.3">
      <c r="A193" s="50" t="s">
        <v>34</v>
      </c>
      <c r="B193" s="50">
        <v>2022</v>
      </c>
      <c r="C193" s="50" t="s">
        <v>38</v>
      </c>
      <c r="D193" s="50">
        <v>2071.8000000000002</v>
      </c>
      <c r="E193" s="50">
        <v>174.8</v>
      </c>
      <c r="F193" s="50">
        <v>838.19999999999993</v>
      </c>
    </row>
    <row r="194" spans="1:6" x14ac:dyDescent="0.3">
      <c r="A194" s="49" t="s">
        <v>30</v>
      </c>
      <c r="B194" s="49">
        <v>2022</v>
      </c>
      <c r="C194" s="49" t="s">
        <v>39</v>
      </c>
      <c r="D194" s="49">
        <v>2074.1</v>
      </c>
      <c r="E194" s="49">
        <v>178.2</v>
      </c>
      <c r="F194" s="49">
        <v>685.1</v>
      </c>
    </row>
    <row r="195" spans="1:6" x14ac:dyDescent="0.3">
      <c r="A195" s="50" t="s">
        <v>33</v>
      </c>
      <c r="B195" s="50">
        <v>2022</v>
      </c>
      <c r="C195" s="50" t="s">
        <v>39</v>
      </c>
      <c r="D195" s="50">
        <v>2128.4</v>
      </c>
      <c r="E195" s="50">
        <v>170.9</v>
      </c>
      <c r="F195" s="50">
        <v>827.5</v>
      </c>
    </row>
    <row r="196" spans="1:6" x14ac:dyDescent="0.3">
      <c r="A196" s="49" t="s">
        <v>34</v>
      </c>
      <c r="B196" s="49">
        <v>2022</v>
      </c>
      <c r="C196" s="49" t="s">
        <v>39</v>
      </c>
      <c r="D196" s="49">
        <v>2094</v>
      </c>
      <c r="E196" s="49">
        <v>175.4</v>
      </c>
      <c r="F196" s="49">
        <v>839.30000000000007</v>
      </c>
    </row>
    <row r="197" spans="1:6" x14ac:dyDescent="0.3">
      <c r="A197" s="50" t="s">
        <v>30</v>
      </c>
      <c r="B197" s="50">
        <v>2022</v>
      </c>
      <c r="C197" s="50" t="s">
        <v>40</v>
      </c>
      <c r="D197" s="50">
        <v>2078</v>
      </c>
      <c r="E197" s="50">
        <v>178.8</v>
      </c>
      <c r="F197" s="50">
        <v>691.90000000000009</v>
      </c>
    </row>
    <row r="198" spans="1:6" x14ac:dyDescent="0.3">
      <c r="A198" s="49" t="s">
        <v>33</v>
      </c>
      <c r="B198" s="49">
        <v>2022</v>
      </c>
      <c r="C198" s="49" t="s">
        <v>40</v>
      </c>
      <c r="D198" s="49">
        <v>2131.8000000000002</v>
      </c>
      <c r="E198" s="49">
        <v>171.7</v>
      </c>
      <c r="F198" s="49">
        <v>836.9</v>
      </c>
    </row>
    <row r="199" spans="1:6" x14ac:dyDescent="0.3">
      <c r="A199" s="50" t="s">
        <v>34</v>
      </c>
      <c r="B199" s="50">
        <v>2022</v>
      </c>
      <c r="C199" s="50" t="s">
        <v>40</v>
      </c>
      <c r="D199" s="50">
        <v>2097.9</v>
      </c>
      <c r="E199" s="50">
        <v>176.1</v>
      </c>
      <c r="F199" s="50">
        <v>847.8</v>
      </c>
    </row>
    <row r="200" spans="1:6" x14ac:dyDescent="0.3">
      <c r="A200" s="49" t="s">
        <v>30</v>
      </c>
      <c r="B200" s="49">
        <v>2022</v>
      </c>
      <c r="C200" s="49" t="s">
        <v>41</v>
      </c>
      <c r="D200" s="49">
        <v>2081</v>
      </c>
      <c r="E200" s="49">
        <v>179.4</v>
      </c>
      <c r="F200" s="49">
        <v>693.7</v>
      </c>
    </row>
    <row r="201" spans="1:6" x14ac:dyDescent="0.3">
      <c r="A201" s="50" t="s">
        <v>33</v>
      </c>
      <c r="B201" s="50">
        <v>2022</v>
      </c>
      <c r="C201" s="50" t="s">
        <v>41</v>
      </c>
      <c r="D201" s="50">
        <v>2133.1999999999998</v>
      </c>
      <c r="E201" s="50">
        <v>172.6</v>
      </c>
      <c r="F201" s="50">
        <v>839.19999999999993</v>
      </c>
    </row>
    <row r="202" spans="1:6" x14ac:dyDescent="0.3">
      <c r="A202" s="49" t="s">
        <v>34</v>
      </c>
      <c r="B202" s="49">
        <v>2022</v>
      </c>
      <c r="C202" s="49" t="s">
        <v>41</v>
      </c>
      <c r="D202" s="49">
        <v>2100.4</v>
      </c>
      <c r="E202" s="49">
        <v>176.8</v>
      </c>
      <c r="F202" s="49">
        <v>850.5</v>
      </c>
    </row>
    <row r="203" spans="1:6" x14ac:dyDescent="0.3">
      <c r="A203" s="50" t="s">
        <v>30</v>
      </c>
      <c r="B203" s="50">
        <v>2022</v>
      </c>
      <c r="C203" s="50" t="s">
        <v>42</v>
      </c>
      <c r="D203" s="50">
        <v>2092.3999999999996</v>
      </c>
      <c r="E203" s="50">
        <v>180.2</v>
      </c>
      <c r="F203" s="50">
        <v>696.39999999999986</v>
      </c>
    </row>
    <row r="204" spans="1:6" x14ac:dyDescent="0.3">
      <c r="A204" s="49" t="s">
        <v>33</v>
      </c>
      <c r="B204" s="49">
        <v>2022</v>
      </c>
      <c r="C204" s="49" t="s">
        <v>42</v>
      </c>
      <c r="D204" s="49">
        <v>2145.3000000000002</v>
      </c>
      <c r="E204" s="49">
        <v>173.8</v>
      </c>
      <c r="F204" s="49">
        <v>842.80000000000007</v>
      </c>
    </row>
    <row r="205" spans="1:6" x14ac:dyDescent="0.3">
      <c r="A205" s="50" t="s">
        <v>34</v>
      </c>
      <c r="B205" s="50">
        <v>2022</v>
      </c>
      <c r="C205" s="50" t="s">
        <v>42</v>
      </c>
      <c r="D205" s="50">
        <v>2111.5</v>
      </c>
      <c r="E205" s="50">
        <v>177.8</v>
      </c>
      <c r="F205" s="50">
        <v>853.9</v>
      </c>
    </row>
    <row r="206" spans="1:6" x14ac:dyDescent="0.3">
      <c r="A206" s="49" t="s">
        <v>30</v>
      </c>
      <c r="B206" s="49">
        <v>2022</v>
      </c>
      <c r="C206" s="49" t="s">
        <v>43</v>
      </c>
      <c r="D206" s="49">
        <v>2108.6999999999998</v>
      </c>
      <c r="E206" s="49">
        <v>181.2</v>
      </c>
      <c r="F206" s="49">
        <v>699.1</v>
      </c>
    </row>
    <row r="207" spans="1:6" x14ac:dyDescent="0.3">
      <c r="A207" s="50" t="s">
        <v>33</v>
      </c>
      <c r="B207" s="50">
        <v>2022</v>
      </c>
      <c r="C207" s="50" t="s">
        <v>43</v>
      </c>
      <c r="D207" s="50">
        <v>2160.7000000000003</v>
      </c>
      <c r="E207" s="50">
        <v>174.7</v>
      </c>
      <c r="F207" s="50">
        <v>847.2</v>
      </c>
    </row>
    <row r="208" spans="1:6" x14ac:dyDescent="0.3">
      <c r="A208" s="49" t="s">
        <v>34</v>
      </c>
      <c r="B208" s="49">
        <v>2022</v>
      </c>
      <c r="C208" s="49" t="s">
        <v>43</v>
      </c>
      <c r="D208" s="49">
        <v>2127.4</v>
      </c>
      <c r="E208" s="49">
        <v>178.7</v>
      </c>
      <c r="F208" s="49">
        <v>858.4</v>
      </c>
    </row>
    <row r="209" spans="1:6" x14ac:dyDescent="0.3">
      <c r="A209" s="50" t="s">
        <v>30</v>
      </c>
      <c r="B209" s="50">
        <v>2022</v>
      </c>
      <c r="C209" s="50" t="s">
        <v>45</v>
      </c>
      <c r="D209" s="50">
        <v>2111.2999999999997</v>
      </c>
      <c r="E209" s="50">
        <v>182.3</v>
      </c>
      <c r="F209" s="50">
        <v>701.8</v>
      </c>
    </row>
    <row r="210" spans="1:6" x14ac:dyDescent="0.3">
      <c r="A210" s="49" t="s">
        <v>33</v>
      </c>
      <c r="B210" s="49">
        <v>2022</v>
      </c>
      <c r="C210" s="49" t="s">
        <v>45</v>
      </c>
      <c r="D210" s="49">
        <v>2152.3000000000002</v>
      </c>
      <c r="E210" s="49">
        <v>175.8</v>
      </c>
      <c r="F210" s="49">
        <v>849.4</v>
      </c>
    </row>
    <row r="211" spans="1:6" x14ac:dyDescent="0.3">
      <c r="A211" s="50" t="s">
        <v>34</v>
      </c>
      <c r="B211" s="50">
        <v>2022</v>
      </c>
      <c r="C211" s="50" t="s">
        <v>45</v>
      </c>
      <c r="D211" s="50">
        <v>2126.3999999999996</v>
      </c>
      <c r="E211" s="50">
        <v>179.8</v>
      </c>
      <c r="F211" s="50">
        <v>861.2</v>
      </c>
    </row>
    <row r="212" spans="1:6" x14ac:dyDescent="0.3">
      <c r="A212" s="49" t="s">
        <v>30</v>
      </c>
      <c r="B212" s="49">
        <v>2022</v>
      </c>
      <c r="C212" s="49" t="s">
        <v>46</v>
      </c>
      <c r="D212" s="49">
        <v>2100.3000000000002</v>
      </c>
      <c r="E212" s="49">
        <v>183.5</v>
      </c>
      <c r="F212" s="49">
        <v>704.3</v>
      </c>
    </row>
    <row r="213" spans="1:6" x14ac:dyDescent="0.3">
      <c r="A213" s="50" t="s">
        <v>33</v>
      </c>
      <c r="B213" s="50">
        <v>2022</v>
      </c>
      <c r="C213" s="50" t="s">
        <v>46</v>
      </c>
      <c r="D213" s="50">
        <v>2133</v>
      </c>
      <c r="E213" s="50">
        <v>177.2</v>
      </c>
      <c r="F213" s="50">
        <v>849.8</v>
      </c>
    </row>
    <row r="214" spans="1:6" x14ac:dyDescent="0.3">
      <c r="A214" s="49" t="s">
        <v>34</v>
      </c>
      <c r="B214" s="49">
        <v>2022</v>
      </c>
      <c r="C214" s="49" t="s">
        <v>46</v>
      </c>
      <c r="D214" s="49">
        <v>2112.4</v>
      </c>
      <c r="E214" s="49">
        <v>181.1</v>
      </c>
      <c r="F214" s="49">
        <v>862.3</v>
      </c>
    </row>
  </sheetData>
  <pageMargins left="0.7" right="0.7" top="0.75" bottom="0.75" header="0.3" footer="0.3"/>
  <drawing r:id="rId2"/>
  <tableParts count="1">
    <tablePart r:id="rId3"/>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3D1510-A3DB-4E7F-A78D-3C4CAF725500}">
  <dimension ref="A2:AL100"/>
  <sheetViews>
    <sheetView tabSelected="1" topLeftCell="AH10" workbookViewId="0">
      <selection activeCell="AK20" sqref="AK20"/>
    </sheetView>
  </sheetViews>
  <sheetFormatPr defaultRowHeight="14.4" x14ac:dyDescent="0.3"/>
  <cols>
    <col min="1" max="1" width="17.5546875" bestFit="1" customWidth="1"/>
    <col min="2" max="2" width="13.44140625" bestFit="1" customWidth="1"/>
    <col min="3" max="3" width="30.44140625" bestFit="1" customWidth="1"/>
    <col min="4" max="4" width="30.44140625" style="75" customWidth="1"/>
    <col min="5" max="5" width="16.109375" customWidth="1"/>
    <col min="6" max="6" width="14.109375" customWidth="1"/>
    <col min="7" max="7" width="15" customWidth="1"/>
    <col min="8" max="8" width="13" customWidth="1"/>
    <col min="9" max="12" width="12" bestFit="1" customWidth="1"/>
    <col min="13" max="13" width="13.44140625" customWidth="1"/>
    <col min="14" max="14" width="16.77734375" customWidth="1"/>
    <col min="15" max="15" width="14.33203125" customWidth="1"/>
    <col min="16" max="16" width="16.44140625" customWidth="1"/>
    <col min="17" max="17" width="16.109375" customWidth="1"/>
    <col min="18" max="18" width="14.109375" customWidth="1"/>
    <col min="19" max="19" width="15" customWidth="1"/>
    <col min="20" max="20" width="13" customWidth="1"/>
    <col min="21" max="21" width="11.44140625" customWidth="1"/>
    <col min="22" max="22" width="11.33203125" customWidth="1"/>
    <col min="23" max="23" width="11.44140625" customWidth="1"/>
    <col min="24" max="24" width="10.77734375" customWidth="1"/>
    <col min="25" max="25" width="13.44140625" customWidth="1"/>
    <col min="26" max="26" width="16.77734375" customWidth="1"/>
    <col min="27" max="27" width="14.33203125" customWidth="1"/>
    <col min="28" max="28" width="16.44140625" customWidth="1"/>
    <col min="29" max="29" width="16.109375" customWidth="1"/>
    <col min="30" max="30" width="14.109375" customWidth="1"/>
    <col min="31" max="31" width="15" customWidth="1"/>
    <col min="32" max="32" width="13" customWidth="1"/>
    <col min="35" max="35" width="10.44140625" customWidth="1"/>
    <col min="36" max="36" width="8.88671875" style="52"/>
    <col min="37" max="37" width="13.44140625" customWidth="1"/>
  </cols>
  <sheetData>
    <row r="2" spans="1:38" x14ac:dyDescent="0.3">
      <c r="A2" t="s">
        <v>139</v>
      </c>
      <c r="B2" t="s">
        <v>187</v>
      </c>
      <c r="C2" t="s">
        <v>188</v>
      </c>
      <c r="E2" s="55" t="s">
        <v>111</v>
      </c>
      <c r="F2" s="55" t="s">
        <v>112</v>
      </c>
      <c r="G2" s="55" t="s">
        <v>113</v>
      </c>
      <c r="H2" s="55" t="s">
        <v>114</v>
      </c>
      <c r="I2" s="55" t="s">
        <v>115</v>
      </c>
      <c r="J2" s="55" t="s">
        <v>116</v>
      </c>
      <c r="K2" s="55" t="s">
        <v>117</v>
      </c>
      <c r="L2" s="55" t="s">
        <v>118</v>
      </c>
      <c r="M2" s="55" t="s">
        <v>119</v>
      </c>
      <c r="N2" s="55" t="s">
        <v>120</v>
      </c>
      <c r="O2" s="55" t="s">
        <v>121</v>
      </c>
      <c r="P2" s="55" t="s">
        <v>122</v>
      </c>
      <c r="Q2" s="55" t="s">
        <v>123</v>
      </c>
      <c r="R2" s="55" t="s">
        <v>124</v>
      </c>
      <c r="S2" s="55" t="s">
        <v>125</v>
      </c>
      <c r="T2" s="55" t="s">
        <v>126</v>
      </c>
      <c r="U2" s="55" t="s">
        <v>127</v>
      </c>
      <c r="V2" s="55" t="s">
        <v>128</v>
      </c>
      <c r="W2" s="55" t="s">
        <v>129</v>
      </c>
      <c r="X2" s="55" t="s">
        <v>130</v>
      </c>
      <c r="Y2" s="55" t="s">
        <v>131</v>
      </c>
      <c r="Z2" s="55" t="s">
        <v>132</v>
      </c>
      <c r="AA2" s="55" t="s">
        <v>133</v>
      </c>
      <c r="AB2" s="55" t="s">
        <v>134</v>
      </c>
      <c r="AC2" s="55" t="s">
        <v>135</v>
      </c>
      <c r="AD2" s="55" t="s">
        <v>136</v>
      </c>
      <c r="AE2" s="55" t="s">
        <v>137</v>
      </c>
      <c r="AF2" s="55" t="s">
        <v>138</v>
      </c>
    </row>
    <row r="3" spans="1:38" x14ac:dyDescent="0.3">
      <c r="E3" s="56">
        <v>49.839816952380943</v>
      </c>
      <c r="F3" s="56">
        <v>54.794569624999994</v>
      </c>
      <c r="G3" s="56">
        <v>61.216117289473672</v>
      </c>
      <c r="H3" s="56">
        <v>64.729496782608663</v>
      </c>
      <c r="I3" s="56">
        <v>63.396976500000008</v>
      </c>
      <c r="J3" s="56">
        <v>66.953084852941174</v>
      </c>
      <c r="K3" s="56">
        <v>71.982647477272721</v>
      </c>
      <c r="L3" s="56">
        <v>73.539060523809511</v>
      </c>
      <c r="M3" s="56">
        <v>69.804724424999989</v>
      </c>
      <c r="N3" s="56">
        <v>73.130738295454549</v>
      </c>
      <c r="O3" s="56">
        <v>82.107393785714294</v>
      </c>
      <c r="P3" s="56">
        <v>80.637301023809528</v>
      </c>
      <c r="Q3" s="56">
        <v>73.298823523809531</v>
      </c>
      <c r="R3" s="56">
        <v>84.666318799999985</v>
      </c>
      <c r="S3" s="56">
        <v>94.067715194444446</v>
      </c>
      <c r="T3" s="56">
        <v>112.87479254347826</v>
      </c>
      <c r="U3" s="56">
        <v>102.96599786842103</v>
      </c>
      <c r="V3" s="56">
        <v>109.50503773684208</v>
      </c>
      <c r="W3" s="56">
        <v>116.01138504999999</v>
      </c>
      <c r="X3" s="56">
        <v>105.49124737500001</v>
      </c>
      <c r="Y3" s="56">
        <v>97.404465428571427</v>
      </c>
      <c r="Z3" s="56">
        <v>90.706344809523813</v>
      </c>
      <c r="AA3" s="56">
        <v>91.698948700000003</v>
      </c>
      <c r="AB3" s="56">
        <v>87.552266068181822</v>
      </c>
      <c r="AC3" s="56">
        <v>78.100942275000008</v>
      </c>
      <c r="AD3" s="56">
        <v>80.922269684210534</v>
      </c>
      <c r="AE3" s="56">
        <v>82.278706675000009</v>
      </c>
      <c r="AF3" s="56">
        <v>78.539480282608693</v>
      </c>
    </row>
    <row r="7" spans="1:38" x14ac:dyDescent="0.3">
      <c r="A7" t="s">
        <v>49</v>
      </c>
      <c r="B7" t="s">
        <v>0</v>
      </c>
      <c r="C7" t="s">
        <v>189</v>
      </c>
      <c r="D7" s="75" t="s">
        <v>190</v>
      </c>
      <c r="E7" t="s">
        <v>111</v>
      </c>
      <c r="F7" t="s">
        <v>112</v>
      </c>
      <c r="G7" t="s">
        <v>113</v>
      </c>
      <c r="H7" t="s">
        <v>114</v>
      </c>
      <c r="I7" t="s">
        <v>115</v>
      </c>
      <c r="J7" t="s">
        <v>116</v>
      </c>
      <c r="K7" t="s">
        <v>117</v>
      </c>
      <c r="L7" t="s">
        <v>118</v>
      </c>
      <c r="M7" t="s">
        <v>119</v>
      </c>
      <c r="N7" t="s">
        <v>120</v>
      </c>
      <c r="O7" t="s">
        <v>121</v>
      </c>
      <c r="P7" t="s">
        <v>122</v>
      </c>
      <c r="Q7" t="s">
        <v>123</v>
      </c>
      <c r="R7" t="s">
        <v>124</v>
      </c>
      <c r="S7" t="s">
        <v>125</v>
      </c>
      <c r="T7" t="s">
        <v>126</v>
      </c>
      <c r="U7" t="s">
        <v>127</v>
      </c>
      <c r="V7" t="s">
        <v>128</v>
      </c>
      <c r="W7" t="s">
        <v>129</v>
      </c>
      <c r="X7" t="s">
        <v>130</v>
      </c>
      <c r="Y7" t="s">
        <v>131</v>
      </c>
      <c r="Z7" t="s">
        <v>132</v>
      </c>
      <c r="AA7" t="s">
        <v>133</v>
      </c>
      <c r="AB7" t="s">
        <v>134</v>
      </c>
      <c r="AC7" t="s">
        <v>135</v>
      </c>
      <c r="AD7" t="s">
        <v>136</v>
      </c>
      <c r="AE7" t="s">
        <v>137</v>
      </c>
      <c r="AF7" t="s">
        <v>138</v>
      </c>
      <c r="AI7" s="21" t="s">
        <v>49</v>
      </c>
      <c r="AJ7" s="76" t="s">
        <v>30</v>
      </c>
      <c r="AK7" s="21" t="s">
        <v>34</v>
      </c>
      <c r="AL7" s="21" t="s">
        <v>33</v>
      </c>
    </row>
    <row r="8" spans="1:38" x14ac:dyDescent="0.3">
      <c r="A8" t="s">
        <v>3</v>
      </c>
      <c r="B8" s="74" t="s">
        <v>30</v>
      </c>
      <c r="C8" t="s">
        <v>51</v>
      </c>
      <c r="D8" s="75">
        <f>CORREL($E$3:$AF$3,E8:AF8)</f>
        <v>0.35015775691604245</v>
      </c>
      <c r="E8">
        <v>144.6</v>
      </c>
      <c r="F8">
        <v>143.4</v>
      </c>
      <c r="G8">
        <v>142.80000000000001</v>
      </c>
      <c r="H8">
        <v>142.5</v>
      </c>
      <c r="I8">
        <v>142.69999999999999</v>
      </c>
      <c r="J8">
        <v>145.1</v>
      </c>
      <c r="K8">
        <v>145.6</v>
      </c>
      <c r="L8">
        <v>145.1</v>
      </c>
      <c r="M8">
        <v>144.9</v>
      </c>
      <c r="N8">
        <v>145.4</v>
      </c>
      <c r="O8">
        <v>146.1</v>
      </c>
      <c r="P8">
        <v>146.9</v>
      </c>
      <c r="Q8">
        <v>147.4</v>
      </c>
      <c r="R8">
        <v>148.30000000000001</v>
      </c>
      <c r="S8">
        <v>148.80000000000001</v>
      </c>
      <c r="T8">
        <v>150.19999999999999</v>
      </c>
      <c r="U8">
        <v>151.80000000000001</v>
      </c>
      <c r="V8">
        <v>152.9</v>
      </c>
      <c r="W8">
        <v>153.80000000000001</v>
      </c>
      <c r="X8">
        <v>155.19999999999999</v>
      </c>
      <c r="Y8">
        <v>159.5</v>
      </c>
      <c r="Z8">
        <v>162.9</v>
      </c>
      <c r="AA8">
        <v>164.7</v>
      </c>
      <c r="AB8">
        <v>166.9</v>
      </c>
      <c r="AC8">
        <v>168.8</v>
      </c>
      <c r="AD8">
        <v>174</v>
      </c>
      <c r="AE8">
        <v>174.2</v>
      </c>
      <c r="AF8">
        <v>174.3</v>
      </c>
      <c r="AI8" s="21" t="s">
        <v>7</v>
      </c>
      <c r="AJ8" s="76">
        <v>0.84347644671152178</v>
      </c>
      <c r="AK8" s="76">
        <v>0.84422772692376136</v>
      </c>
      <c r="AL8" s="76">
        <v>0.85325827127484377</v>
      </c>
    </row>
    <row r="9" spans="1:38" x14ac:dyDescent="0.3">
      <c r="A9" t="s">
        <v>4</v>
      </c>
      <c r="B9" s="74" t="s">
        <v>30</v>
      </c>
      <c r="C9" t="s">
        <v>51</v>
      </c>
      <c r="D9" s="75">
        <f t="shared" ref="D9:D34" si="0">CORREL($E$3:$AF$3,E9:AF9)</f>
        <v>0.8311953557084375</v>
      </c>
      <c r="E9">
        <v>188.5</v>
      </c>
      <c r="F9">
        <v>187.5</v>
      </c>
      <c r="G9">
        <v>184</v>
      </c>
      <c r="H9">
        <v>189.4</v>
      </c>
      <c r="I9">
        <v>195.5</v>
      </c>
      <c r="J9">
        <v>198.5</v>
      </c>
      <c r="K9">
        <v>200.1</v>
      </c>
      <c r="L9">
        <v>204.5</v>
      </c>
      <c r="M9">
        <v>202.3</v>
      </c>
      <c r="N9">
        <v>202.1</v>
      </c>
      <c r="O9">
        <v>202.5</v>
      </c>
      <c r="P9">
        <v>199.8</v>
      </c>
      <c r="Q9">
        <v>197</v>
      </c>
      <c r="R9">
        <v>196.9</v>
      </c>
      <c r="S9">
        <v>198.1</v>
      </c>
      <c r="T9">
        <v>208</v>
      </c>
      <c r="U9">
        <v>209.7</v>
      </c>
      <c r="V9">
        <v>214.7</v>
      </c>
      <c r="W9">
        <v>217.2</v>
      </c>
      <c r="X9">
        <v>210.8</v>
      </c>
      <c r="Y9">
        <v>204.1</v>
      </c>
      <c r="Z9">
        <v>206.7</v>
      </c>
      <c r="AA9">
        <v>208.8</v>
      </c>
      <c r="AB9">
        <v>207.2</v>
      </c>
      <c r="AC9">
        <v>206.9</v>
      </c>
      <c r="AD9">
        <v>208.3</v>
      </c>
      <c r="AE9">
        <v>205.2</v>
      </c>
      <c r="AF9">
        <v>205.2</v>
      </c>
      <c r="AI9" s="21" t="s">
        <v>4</v>
      </c>
      <c r="AJ9" s="76">
        <v>0.8311953557084375</v>
      </c>
      <c r="AK9" s="76">
        <v>0.83598749729266875</v>
      </c>
      <c r="AL9" s="76">
        <v>0.84330774093722249</v>
      </c>
    </row>
    <row r="10" spans="1:38" x14ac:dyDescent="0.3">
      <c r="A10" t="s">
        <v>5</v>
      </c>
      <c r="B10" s="74" t="s">
        <v>30</v>
      </c>
      <c r="C10" t="s">
        <v>51</v>
      </c>
      <c r="D10" s="75">
        <f t="shared" si="0"/>
        <v>-0.1705978427197021</v>
      </c>
      <c r="E10">
        <v>173.4</v>
      </c>
      <c r="F10">
        <v>173.4</v>
      </c>
      <c r="G10">
        <v>168</v>
      </c>
      <c r="H10">
        <v>163.19999999999999</v>
      </c>
      <c r="I10">
        <v>163.4</v>
      </c>
      <c r="J10">
        <v>168.6</v>
      </c>
      <c r="K10">
        <v>179.3</v>
      </c>
      <c r="L10">
        <v>180.4</v>
      </c>
      <c r="M10">
        <v>176.5</v>
      </c>
      <c r="N10">
        <v>172</v>
      </c>
      <c r="O10">
        <v>170.1</v>
      </c>
      <c r="P10">
        <v>171.5</v>
      </c>
      <c r="Q10">
        <v>176.5</v>
      </c>
      <c r="R10">
        <v>178</v>
      </c>
      <c r="S10">
        <v>175.5</v>
      </c>
      <c r="T10">
        <v>167.9</v>
      </c>
      <c r="U10">
        <v>164.5</v>
      </c>
      <c r="V10">
        <v>161.4</v>
      </c>
      <c r="W10">
        <v>169.6</v>
      </c>
      <c r="X10">
        <v>174.3</v>
      </c>
      <c r="Y10">
        <v>168.3</v>
      </c>
      <c r="Z10">
        <v>169</v>
      </c>
      <c r="AA10">
        <v>170.3</v>
      </c>
      <c r="AB10">
        <v>180.2</v>
      </c>
      <c r="AC10">
        <v>189.1</v>
      </c>
      <c r="AD10">
        <v>192.9</v>
      </c>
      <c r="AE10">
        <v>173.9</v>
      </c>
      <c r="AF10">
        <v>173.9</v>
      </c>
      <c r="AI10" s="21" t="s">
        <v>24</v>
      </c>
      <c r="AJ10" s="76">
        <v>0.75422626542690707</v>
      </c>
      <c r="AK10" s="76">
        <v>0.76576171271104887</v>
      </c>
      <c r="AL10" s="76">
        <v>0.77512710209787494</v>
      </c>
    </row>
    <row r="11" spans="1:38" x14ac:dyDescent="0.3">
      <c r="A11" t="s">
        <v>6</v>
      </c>
      <c r="B11" s="74" t="s">
        <v>30</v>
      </c>
      <c r="C11" t="s">
        <v>51</v>
      </c>
      <c r="D11" s="75">
        <f t="shared" si="0"/>
        <v>0.49208177665131331</v>
      </c>
      <c r="E11">
        <v>154</v>
      </c>
      <c r="F11">
        <v>154</v>
      </c>
      <c r="G11">
        <v>154.4</v>
      </c>
      <c r="H11">
        <v>154.5</v>
      </c>
      <c r="I11">
        <v>155</v>
      </c>
      <c r="J11">
        <v>155.80000000000001</v>
      </c>
      <c r="K11">
        <v>156.1</v>
      </c>
      <c r="L11">
        <v>157.1</v>
      </c>
      <c r="M11">
        <v>157.5</v>
      </c>
      <c r="N11">
        <v>158</v>
      </c>
      <c r="O11">
        <v>158.4</v>
      </c>
      <c r="P11">
        <v>159.1</v>
      </c>
      <c r="Q11">
        <v>159.80000000000001</v>
      </c>
      <c r="R11">
        <v>160.5</v>
      </c>
      <c r="S11">
        <v>160.69999999999999</v>
      </c>
      <c r="T11">
        <v>162</v>
      </c>
      <c r="U11">
        <v>163.80000000000001</v>
      </c>
      <c r="V11">
        <v>164.6</v>
      </c>
      <c r="W11">
        <v>165.4</v>
      </c>
      <c r="X11">
        <v>166.3</v>
      </c>
      <c r="Y11">
        <v>167.9</v>
      </c>
      <c r="Z11">
        <v>169.5</v>
      </c>
      <c r="AA11">
        <v>170.9</v>
      </c>
      <c r="AB11">
        <v>172.3</v>
      </c>
      <c r="AC11">
        <v>173.4</v>
      </c>
      <c r="AD11">
        <v>174.3</v>
      </c>
      <c r="AE11">
        <v>177</v>
      </c>
      <c r="AF11">
        <v>177</v>
      </c>
      <c r="AI11" s="21" t="s">
        <v>25</v>
      </c>
      <c r="AJ11" s="76">
        <v>0.68906697759853153</v>
      </c>
      <c r="AK11" s="76">
        <v>0.70780060439817616</v>
      </c>
      <c r="AL11" s="76">
        <v>0.71873792028041816</v>
      </c>
    </row>
    <row r="12" spans="1:38" x14ac:dyDescent="0.3">
      <c r="A12" t="s">
        <v>7</v>
      </c>
      <c r="B12" s="74" t="s">
        <v>30</v>
      </c>
      <c r="C12" t="s">
        <v>51</v>
      </c>
      <c r="D12" s="75">
        <f t="shared" si="0"/>
        <v>0.84347644671152178</v>
      </c>
      <c r="E12">
        <v>150</v>
      </c>
      <c r="F12">
        <v>154.80000000000001</v>
      </c>
      <c r="G12">
        <v>163</v>
      </c>
      <c r="H12">
        <v>168.2</v>
      </c>
      <c r="I12">
        <v>175.2</v>
      </c>
      <c r="J12">
        <v>184.4</v>
      </c>
      <c r="K12">
        <v>190.4</v>
      </c>
      <c r="L12">
        <v>188.7</v>
      </c>
      <c r="M12">
        <v>190.9</v>
      </c>
      <c r="N12">
        <v>195.5</v>
      </c>
      <c r="O12">
        <v>198.8</v>
      </c>
      <c r="P12">
        <v>198.4</v>
      </c>
      <c r="Q12">
        <v>195.8</v>
      </c>
      <c r="R12">
        <v>192.6</v>
      </c>
      <c r="S12">
        <v>192.6</v>
      </c>
      <c r="T12">
        <v>203.1</v>
      </c>
      <c r="U12">
        <v>207.4</v>
      </c>
      <c r="V12">
        <v>209.9</v>
      </c>
      <c r="W12">
        <v>208.1</v>
      </c>
      <c r="X12">
        <v>202.2</v>
      </c>
      <c r="Y12">
        <v>198.1</v>
      </c>
      <c r="Z12">
        <v>194.1</v>
      </c>
      <c r="AA12">
        <v>191.6</v>
      </c>
      <c r="AB12">
        <v>194</v>
      </c>
      <c r="AC12">
        <v>193.9</v>
      </c>
      <c r="AD12">
        <v>192.6</v>
      </c>
      <c r="AE12">
        <v>183.4</v>
      </c>
      <c r="AF12">
        <v>183.3</v>
      </c>
      <c r="AI12" s="21" t="s">
        <v>21</v>
      </c>
      <c r="AJ12" s="76">
        <v>0.68652004508004316</v>
      </c>
      <c r="AK12" s="76">
        <v>0.68314218184816067</v>
      </c>
      <c r="AL12" s="76">
        <v>0.67776210527972391</v>
      </c>
    </row>
    <row r="13" spans="1:38" x14ac:dyDescent="0.3">
      <c r="A13" t="s">
        <v>8</v>
      </c>
      <c r="B13" s="74" t="s">
        <v>30</v>
      </c>
      <c r="C13" t="s">
        <v>51</v>
      </c>
      <c r="D13" s="75">
        <f t="shared" si="0"/>
        <v>0.64106986165868607</v>
      </c>
      <c r="E13">
        <v>145.9</v>
      </c>
      <c r="F13">
        <v>147</v>
      </c>
      <c r="G13">
        <v>147.80000000000001</v>
      </c>
      <c r="H13">
        <v>150.5</v>
      </c>
      <c r="I13">
        <v>160.6</v>
      </c>
      <c r="J13">
        <v>162.30000000000001</v>
      </c>
      <c r="K13">
        <v>158.6</v>
      </c>
      <c r="L13">
        <v>157.69999999999999</v>
      </c>
      <c r="M13">
        <v>155.69999999999999</v>
      </c>
      <c r="N13">
        <v>152.69999999999999</v>
      </c>
      <c r="O13">
        <v>152.6</v>
      </c>
      <c r="P13">
        <v>153.19999999999999</v>
      </c>
      <c r="Q13">
        <v>152</v>
      </c>
      <c r="R13">
        <v>151.19999999999999</v>
      </c>
      <c r="S13">
        <v>151.4</v>
      </c>
      <c r="T13">
        <v>155.9</v>
      </c>
      <c r="U13">
        <v>169.7</v>
      </c>
      <c r="V13">
        <v>168</v>
      </c>
      <c r="W13">
        <v>165.8</v>
      </c>
      <c r="X13">
        <v>169.6</v>
      </c>
      <c r="Y13">
        <v>169.2</v>
      </c>
      <c r="Z13">
        <v>164.1</v>
      </c>
      <c r="AA13">
        <v>162.19999999999999</v>
      </c>
      <c r="AB13">
        <v>159.1</v>
      </c>
      <c r="AC13">
        <v>156.69999999999999</v>
      </c>
      <c r="AD13">
        <v>156.30000000000001</v>
      </c>
      <c r="AE13">
        <v>167.2</v>
      </c>
      <c r="AF13">
        <v>167.2</v>
      </c>
      <c r="AI13" s="21" t="s">
        <v>28</v>
      </c>
      <c r="AJ13" s="76">
        <v>0.65871203375453724</v>
      </c>
      <c r="AK13" s="76">
        <v>0.66711382865951885</v>
      </c>
      <c r="AL13" s="76">
        <v>0.67538784217301051</v>
      </c>
    </row>
    <row r="14" spans="1:38" x14ac:dyDescent="0.3">
      <c r="A14" t="s">
        <v>9</v>
      </c>
      <c r="B14" s="74" t="s">
        <v>30</v>
      </c>
      <c r="C14" t="s">
        <v>51</v>
      </c>
      <c r="D14" s="75">
        <f t="shared" si="0"/>
        <v>-4.2841758808321882E-2</v>
      </c>
      <c r="E14">
        <v>225.2</v>
      </c>
      <c r="F14">
        <v>187.8</v>
      </c>
      <c r="G14">
        <v>149.69999999999999</v>
      </c>
      <c r="H14">
        <v>141</v>
      </c>
      <c r="I14">
        <v>135.1</v>
      </c>
      <c r="J14">
        <v>138.4</v>
      </c>
      <c r="K14">
        <v>144.69999999999999</v>
      </c>
      <c r="L14">
        <v>152.80000000000001</v>
      </c>
      <c r="M14">
        <v>153.9</v>
      </c>
      <c r="N14">
        <v>151.4</v>
      </c>
      <c r="O14">
        <v>170.4</v>
      </c>
      <c r="P14">
        <v>183.9</v>
      </c>
      <c r="Q14">
        <v>172.3</v>
      </c>
      <c r="R14">
        <v>159.19999999999999</v>
      </c>
      <c r="S14">
        <v>155.19999999999999</v>
      </c>
      <c r="T14">
        <v>155.80000000000001</v>
      </c>
      <c r="U14">
        <v>153.6</v>
      </c>
      <c r="V14">
        <v>160.4</v>
      </c>
      <c r="W14">
        <v>167.3</v>
      </c>
      <c r="X14">
        <v>168.6</v>
      </c>
      <c r="Y14">
        <v>173.1</v>
      </c>
      <c r="Z14">
        <v>176.9</v>
      </c>
      <c r="AA14">
        <v>184.8</v>
      </c>
      <c r="AB14">
        <v>171.6</v>
      </c>
      <c r="AC14">
        <v>150.19999999999999</v>
      </c>
      <c r="AD14">
        <v>142.9</v>
      </c>
      <c r="AE14">
        <v>140.9</v>
      </c>
      <c r="AF14">
        <v>140.9</v>
      </c>
      <c r="AI14" s="21" t="s">
        <v>29</v>
      </c>
      <c r="AJ14" s="76">
        <v>0.64481964318472185</v>
      </c>
      <c r="AK14" s="76">
        <v>0.65481753095456197</v>
      </c>
      <c r="AL14" s="76">
        <v>0.66655127045903018</v>
      </c>
    </row>
    <row r="15" spans="1:38" x14ac:dyDescent="0.3">
      <c r="A15" t="s">
        <v>10</v>
      </c>
      <c r="B15" s="74" t="s">
        <v>30</v>
      </c>
      <c r="C15" t="s">
        <v>51</v>
      </c>
      <c r="D15" s="75">
        <f t="shared" si="0"/>
        <v>0.42140673511596438</v>
      </c>
      <c r="E15">
        <v>159.5</v>
      </c>
      <c r="F15">
        <v>159.5</v>
      </c>
      <c r="G15">
        <v>158.30000000000001</v>
      </c>
      <c r="H15">
        <v>159.19999999999999</v>
      </c>
      <c r="I15">
        <v>161.1</v>
      </c>
      <c r="J15">
        <v>165.1</v>
      </c>
      <c r="K15">
        <v>165.5</v>
      </c>
      <c r="L15">
        <v>163.6</v>
      </c>
      <c r="M15">
        <v>162.80000000000001</v>
      </c>
      <c r="N15">
        <v>163.9</v>
      </c>
      <c r="O15">
        <v>165.2</v>
      </c>
      <c r="P15">
        <v>165.4</v>
      </c>
      <c r="Q15">
        <v>164.5</v>
      </c>
      <c r="R15">
        <v>164</v>
      </c>
      <c r="S15">
        <v>163.9</v>
      </c>
      <c r="T15">
        <v>164.2</v>
      </c>
      <c r="U15">
        <v>165.1</v>
      </c>
      <c r="V15">
        <v>165</v>
      </c>
      <c r="W15">
        <v>164.6</v>
      </c>
      <c r="X15">
        <v>164.4</v>
      </c>
      <c r="Y15">
        <v>167.1</v>
      </c>
      <c r="Z15">
        <v>169</v>
      </c>
      <c r="AA15">
        <v>169.7</v>
      </c>
      <c r="AB15">
        <v>170.2</v>
      </c>
      <c r="AC15">
        <v>170.5</v>
      </c>
      <c r="AD15">
        <v>170.7</v>
      </c>
      <c r="AE15">
        <v>170.4</v>
      </c>
      <c r="AF15">
        <v>170.5</v>
      </c>
      <c r="AI15" s="21" t="s">
        <v>15</v>
      </c>
      <c r="AJ15" s="76">
        <v>0.60256504409199929</v>
      </c>
      <c r="AK15" s="76">
        <v>0.62611760355909529</v>
      </c>
      <c r="AL15" s="76">
        <v>0.66292465080795948</v>
      </c>
    </row>
    <row r="16" spans="1:38" x14ac:dyDescent="0.3">
      <c r="A16" t="s">
        <v>11</v>
      </c>
      <c r="B16" s="74" t="s">
        <v>30</v>
      </c>
      <c r="C16" t="s">
        <v>51</v>
      </c>
      <c r="D16" s="75">
        <f t="shared" si="0"/>
        <v>0.58356583773637238</v>
      </c>
      <c r="E16">
        <v>114.4</v>
      </c>
      <c r="F16">
        <v>113.8</v>
      </c>
      <c r="G16">
        <v>111.8</v>
      </c>
      <c r="H16">
        <v>111.7</v>
      </c>
      <c r="I16">
        <v>112.2</v>
      </c>
      <c r="J16">
        <v>114.3</v>
      </c>
      <c r="K16">
        <v>114.6</v>
      </c>
      <c r="L16">
        <v>113.9</v>
      </c>
      <c r="M16">
        <v>115.2</v>
      </c>
      <c r="N16">
        <v>119.3</v>
      </c>
      <c r="O16">
        <v>121.6</v>
      </c>
      <c r="P16">
        <v>122.1</v>
      </c>
      <c r="Q16">
        <v>120.6</v>
      </c>
      <c r="R16">
        <v>119.3</v>
      </c>
      <c r="S16">
        <v>118.1</v>
      </c>
      <c r="T16">
        <v>118.1</v>
      </c>
      <c r="U16">
        <v>118.2</v>
      </c>
      <c r="V16">
        <v>118.9</v>
      </c>
      <c r="W16">
        <v>119.1</v>
      </c>
      <c r="X16">
        <v>119.2</v>
      </c>
      <c r="Y16">
        <v>120.2</v>
      </c>
      <c r="Z16">
        <v>120.8</v>
      </c>
      <c r="AA16">
        <v>121.1</v>
      </c>
      <c r="AB16">
        <v>121.5</v>
      </c>
      <c r="AC16">
        <v>121.2</v>
      </c>
      <c r="AD16">
        <v>120.3</v>
      </c>
      <c r="AE16">
        <v>119.1</v>
      </c>
      <c r="AF16">
        <v>119.1</v>
      </c>
      <c r="AI16" s="21" t="s">
        <v>22</v>
      </c>
      <c r="AJ16" s="76">
        <v>0.61651400861595163</v>
      </c>
      <c r="AK16" s="76">
        <v>0.62840567323289465</v>
      </c>
      <c r="AL16" s="76">
        <v>0.64311230420905141</v>
      </c>
    </row>
    <row r="17" spans="1:38" x14ac:dyDescent="0.3">
      <c r="A17" t="s">
        <v>12</v>
      </c>
      <c r="B17" s="74" t="s">
        <v>30</v>
      </c>
      <c r="C17" t="s">
        <v>51</v>
      </c>
      <c r="D17" s="75">
        <f t="shared" si="0"/>
        <v>0.4709749042074689</v>
      </c>
      <c r="E17">
        <v>163.5</v>
      </c>
      <c r="F17">
        <v>164.5</v>
      </c>
      <c r="G17">
        <v>165</v>
      </c>
      <c r="H17">
        <v>164</v>
      </c>
      <c r="I17">
        <v>164.4</v>
      </c>
      <c r="J17">
        <v>169.7</v>
      </c>
      <c r="K17">
        <v>170</v>
      </c>
      <c r="L17">
        <v>169.7</v>
      </c>
      <c r="M17">
        <v>169.8</v>
      </c>
      <c r="N17">
        <v>170.1</v>
      </c>
      <c r="O17">
        <v>170.6</v>
      </c>
      <c r="P17">
        <v>170.8</v>
      </c>
      <c r="Q17">
        <v>171.7</v>
      </c>
      <c r="R17">
        <v>173.3</v>
      </c>
      <c r="S17">
        <v>175.4</v>
      </c>
      <c r="T17">
        <v>178.7</v>
      </c>
      <c r="U17">
        <v>182.9</v>
      </c>
      <c r="V17">
        <v>186.6</v>
      </c>
      <c r="W17">
        <v>188.9</v>
      </c>
      <c r="X17">
        <v>191.8</v>
      </c>
      <c r="Y17">
        <v>195.6</v>
      </c>
      <c r="Z17">
        <v>199.1</v>
      </c>
      <c r="AA17">
        <v>201.6</v>
      </c>
      <c r="AB17">
        <v>204.8</v>
      </c>
      <c r="AC17">
        <v>207.5</v>
      </c>
      <c r="AD17">
        <v>210.5</v>
      </c>
      <c r="AE17">
        <v>212.1</v>
      </c>
      <c r="AF17">
        <v>212.1</v>
      </c>
      <c r="AI17" s="21" t="s">
        <v>13</v>
      </c>
      <c r="AJ17" s="76">
        <v>0.72105055280060393</v>
      </c>
      <c r="AK17" s="76">
        <v>0.69006812063410339</v>
      </c>
      <c r="AL17" s="76">
        <v>0.63631162486377402</v>
      </c>
    </row>
    <row r="18" spans="1:38" x14ac:dyDescent="0.3">
      <c r="A18" t="s">
        <v>13</v>
      </c>
      <c r="B18" s="74" t="s">
        <v>30</v>
      </c>
      <c r="C18" t="s">
        <v>52</v>
      </c>
      <c r="D18" s="75">
        <f t="shared" si="0"/>
        <v>0.72105055280060393</v>
      </c>
      <c r="E18">
        <v>153.4</v>
      </c>
      <c r="F18">
        <v>156.1</v>
      </c>
      <c r="G18">
        <v>160</v>
      </c>
      <c r="H18">
        <v>160.6</v>
      </c>
      <c r="I18">
        <v>161.9</v>
      </c>
      <c r="J18">
        <v>164.6</v>
      </c>
      <c r="K18">
        <v>165.5</v>
      </c>
      <c r="L18">
        <v>166.2</v>
      </c>
      <c r="M18">
        <v>167.6</v>
      </c>
      <c r="N18">
        <v>168.3</v>
      </c>
      <c r="O18">
        <v>168.8</v>
      </c>
      <c r="P18">
        <v>169.1</v>
      </c>
      <c r="Q18">
        <v>169.7</v>
      </c>
      <c r="R18">
        <v>169.8</v>
      </c>
      <c r="S18">
        <v>170.5</v>
      </c>
      <c r="T18">
        <v>171.2</v>
      </c>
      <c r="U18">
        <v>172.4</v>
      </c>
      <c r="V18">
        <v>173.2</v>
      </c>
      <c r="W18">
        <v>174.2</v>
      </c>
      <c r="X18">
        <v>174.5</v>
      </c>
      <c r="Y18">
        <v>174.8</v>
      </c>
      <c r="Z18">
        <v>175.4</v>
      </c>
      <c r="AA18">
        <v>175.8</v>
      </c>
      <c r="AB18">
        <v>176.4</v>
      </c>
      <c r="AC18">
        <v>176.8</v>
      </c>
      <c r="AD18">
        <v>176.9</v>
      </c>
      <c r="AE18">
        <v>177.6</v>
      </c>
      <c r="AF18">
        <v>177.6</v>
      </c>
      <c r="AI18" s="21" t="s">
        <v>17</v>
      </c>
      <c r="AJ18" s="76">
        <v>0.64551326302629164</v>
      </c>
      <c r="AK18" s="76">
        <v>0.63999596542419068</v>
      </c>
      <c r="AL18" s="76">
        <v>0.6304794492369209</v>
      </c>
    </row>
    <row r="19" spans="1:38" x14ac:dyDescent="0.3">
      <c r="A19" t="s">
        <v>14</v>
      </c>
      <c r="B19" s="74" t="s">
        <v>30</v>
      </c>
      <c r="C19" t="s">
        <v>51</v>
      </c>
      <c r="D19" s="75">
        <f t="shared" si="0"/>
        <v>0.62424661762708378</v>
      </c>
      <c r="E19">
        <v>163.6</v>
      </c>
      <c r="F19">
        <v>164.3</v>
      </c>
      <c r="G19">
        <v>165.8</v>
      </c>
      <c r="H19">
        <v>166.4</v>
      </c>
      <c r="I19">
        <v>166.8</v>
      </c>
      <c r="J19">
        <v>169.8</v>
      </c>
      <c r="K19">
        <v>171.7</v>
      </c>
      <c r="L19">
        <v>171</v>
      </c>
      <c r="M19">
        <v>171.9</v>
      </c>
      <c r="N19">
        <v>172.8</v>
      </c>
      <c r="O19">
        <v>173.6</v>
      </c>
      <c r="P19">
        <v>174.3</v>
      </c>
      <c r="Q19">
        <v>175.1</v>
      </c>
      <c r="R19">
        <v>175.8</v>
      </c>
      <c r="S19">
        <v>176.3</v>
      </c>
      <c r="T19">
        <v>177.4</v>
      </c>
      <c r="U19">
        <v>178.9</v>
      </c>
      <c r="V19">
        <v>180.4</v>
      </c>
      <c r="W19">
        <v>181.9</v>
      </c>
      <c r="X19">
        <v>183.1</v>
      </c>
      <c r="Y19">
        <v>184</v>
      </c>
      <c r="Z19">
        <v>184.8</v>
      </c>
      <c r="AA19">
        <v>185.6</v>
      </c>
      <c r="AB19">
        <v>186.9</v>
      </c>
      <c r="AC19">
        <v>187.7</v>
      </c>
      <c r="AD19">
        <v>188.5</v>
      </c>
      <c r="AE19">
        <v>189.9</v>
      </c>
      <c r="AF19">
        <v>189.9</v>
      </c>
      <c r="AI19" s="21" t="s">
        <v>19</v>
      </c>
      <c r="AJ19" s="76">
        <v>0.64988175264983561</v>
      </c>
      <c r="AK19" s="76">
        <v>0.64290501356080942</v>
      </c>
      <c r="AL19" s="76">
        <v>0.62974588943675336</v>
      </c>
    </row>
    <row r="20" spans="1:38" x14ac:dyDescent="0.3">
      <c r="A20" t="s">
        <v>15</v>
      </c>
      <c r="B20" s="74" t="s">
        <v>30</v>
      </c>
      <c r="C20" t="s">
        <v>51</v>
      </c>
      <c r="D20" s="75">
        <f t="shared" si="0"/>
        <v>0.60256504409199929</v>
      </c>
      <c r="E20">
        <v>164.5</v>
      </c>
      <c r="F20">
        <v>159.6</v>
      </c>
      <c r="G20">
        <v>154.69999999999999</v>
      </c>
      <c r="H20">
        <v>154.5</v>
      </c>
      <c r="I20">
        <v>155.6</v>
      </c>
      <c r="J20">
        <v>158.69999999999999</v>
      </c>
      <c r="K20">
        <v>160.5</v>
      </c>
      <c r="L20">
        <v>161.69999999999999</v>
      </c>
      <c r="M20">
        <v>161.80000000000001</v>
      </c>
      <c r="N20">
        <v>162.1</v>
      </c>
      <c r="O20">
        <v>165.5</v>
      </c>
      <c r="P20">
        <v>167.5</v>
      </c>
      <c r="Q20">
        <v>165.8</v>
      </c>
      <c r="R20">
        <v>164.1</v>
      </c>
      <c r="S20">
        <v>163.9</v>
      </c>
      <c r="T20">
        <v>166.6</v>
      </c>
      <c r="U20">
        <v>168.6</v>
      </c>
      <c r="V20">
        <v>170.8</v>
      </c>
      <c r="W20">
        <v>172.4</v>
      </c>
      <c r="X20">
        <v>172.5</v>
      </c>
      <c r="Y20">
        <v>173.9</v>
      </c>
      <c r="Z20">
        <v>175.5</v>
      </c>
      <c r="AA20">
        <v>177.4</v>
      </c>
      <c r="AB20">
        <v>176.6</v>
      </c>
      <c r="AC20">
        <v>174.4</v>
      </c>
      <c r="AD20">
        <v>175</v>
      </c>
      <c r="AE20">
        <v>174.8</v>
      </c>
      <c r="AF20">
        <v>174.8</v>
      </c>
      <c r="AI20" s="21" t="s">
        <v>18</v>
      </c>
      <c r="AJ20" s="76">
        <v>0.6761175044692429</v>
      </c>
      <c r="AK20" s="76">
        <v>0.65743031343341085</v>
      </c>
      <c r="AL20" s="76">
        <v>0.62512775402214515</v>
      </c>
    </row>
    <row r="21" spans="1:38" x14ac:dyDescent="0.3">
      <c r="A21" t="s">
        <v>16</v>
      </c>
      <c r="B21" s="74" t="s">
        <v>30</v>
      </c>
      <c r="C21" t="s">
        <v>52</v>
      </c>
      <c r="D21" s="75">
        <f t="shared" si="0"/>
        <v>0.60100446818917985</v>
      </c>
      <c r="E21">
        <v>183.6</v>
      </c>
      <c r="F21">
        <v>184.6</v>
      </c>
      <c r="G21">
        <v>186.5</v>
      </c>
      <c r="H21">
        <v>186.1</v>
      </c>
      <c r="I21">
        <v>186.8</v>
      </c>
      <c r="J21">
        <v>189.6</v>
      </c>
      <c r="K21">
        <v>189.1</v>
      </c>
      <c r="L21">
        <v>189.7</v>
      </c>
      <c r="M21">
        <v>190.2</v>
      </c>
      <c r="N21">
        <v>190.5</v>
      </c>
      <c r="O21">
        <v>191.2</v>
      </c>
      <c r="P21">
        <v>191.4</v>
      </c>
      <c r="Q21">
        <v>190.8</v>
      </c>
      <c r="R21">
        <v>190.7</v>
      </c>
      <c r="S21">
        <v>191.5</v>
      </c>
      <c r="T21">
        <v>192.3</v>
      </c>
      <c r="U21">
        <v>192.8</v>
      </c>
      <c r="V21">
        <v>192.9</v>
      </c>
      <c r="W21">
        <v>192.9</v>
      </c>
      <c r="X21">
        <v>193.2</v>
      </c>
      <c r="Y21">
        <v>193.7</v>
      </c>
      <c r="Z21">
        <v>194.5</v>
      </c>
      <c r="AA21">
        <v>194.9</v>
      </c>
      <c r="AB21">
        <v>195.5</v>
      </c>
      <c r="AC21">
        <v>195.9</v>
      </c>
      <c r="AD21">
        <v>196.9</v>
      </c>
      <c r="AE21">
        <v>198.3</v>
      </c>
      <c r="AF21">
        <v>198.4</v>
      </c>
      <c r="AI21" s="21" t="s">
        <v>23</v>
      </c>
      <c r="AJ21" s="76">
        <v>0.6313152368718854</v>
      </c>
      <c r="AK21" s="76">
        <v>0.62234139728974081</v>
      </c>
      <c r="AL21" s="76">
        <v>0.61060353104112297</v>
      </c>
    </row>
    <row r="22" spans="1:38" x14ac:dyDescent="0.3">
      <c r="A22" t="s">
        <v>17</v>
      </c>
      <c r="B22" s="74" t="s">
        <v>30</v>
      </c>
      <c r="C22" t="s">
        <v>53</v>
      </c>
      <c r="D22" s="75">
        <f t="shared" si="0"/>
        <v>0.64551326302629164</v>
      </c>
      <c r="E22">
        <v>157</v>
      </c>
      <c r="F22">
        <v>157.5</v>
      </c>
      <c r="G22">
        <v>159.1</v>
      </c>
      <c r="H22">
        <v>159.6</v>
      </c>
      <c r="I22">
        <v>160.69999999999999</v>
      </c>
      <c r="J22">
        <v>165.3</v>
      </c>
      <c r="K22">
        <v>165.3</v>
      </c>
      <c r="L22">
        <v>166</v>
      </c>
      <c r="M22">
        <v>167</v>
      </c>
      <c r="N22">
        <v>167.7</v>
      </c>
      <c r="O22">
        <v>168.9</v>
      </c>
      <c r="P22">
        <v>170.4</v>
      </c>
      <c r="Q22">
        <v>171.8</v>
      </c>
      <c r="R22">
        <v>173.2</v>
      </c>
      <c r="S22">
        <v>174.1</v>
      </c>
      <c r="T22">
        <v>175.4</v>
      </c>
      <c r="U22">
        <v>177.5</v>
      </c>
      <c r="V22">
        <v>179.3</v>
      </c>
      <c r="W22">
        <v>180.7</v>
      </c>
      <c r="X22">
        <v>182</v>
      </c>
      <c r="Y22">
        <v>183.2</v>
      </c>
      <c r="Z22">
        <v>184.7</v>
      </c>
      <c r="AA22">
        <v>186.1</v>
      </c>
      <c r="AB22">
        <v>187.2</v>
      </c>
      <c r="AC22">
        <v>188.1</v>
      </c>
      <c r="AD22">
        <v>189</v>
      </c>
      <c r="AE22">
        <v>190</v>
      </c>
      <c r="AF22">
        <v>190</v>
      </c>
      <c r="AI22" s="21" t="s">
        <v>14</v>
      </c>
      <c r="AJ22" s="76">
        <v>0.62424661762708378</v>
      </c>
      <c r="AK22" s="76">
        <v>0.61390514483714842</v>
      </c>
      <c r="AL22" s="76">
        <v>0.60457236950804727</v>
      </c>
    </row>
    <row r="23" spans="1:38" x14ac:dyDescent="0.3">
      <c r="A23" t="s">
        <v>18</v>
      </c>
      <c r="B23" s="74" t="s">
        <v>30</v>
      </c>
      <c r="C23" t="s">
        <v>53</v>
      </c>
      <c r="D23" s="75">
        <f t="shared" si="0"/>
        <v>0.6761175044692429</v>
      </c>
      <c r="E23">
        <v>151.6</v>
      </c>
      <c r="F23">
        <v>152.4</v>
      </c>
      <c r="G23">
        <v>153.9</v>
      </c>
      <c r="H23">
        <v>154.4</v>
      </c>
      <c r="I23">
        <v>155.1</v>
      </c>
      <c r="J23">
        <v>160.6</v>
      </c>
      <c r="K23">
        <v>159.9</v>
      </c>
      <c r="L23">
        <v>161.1</v>
      </c>
      <c r="M23">
        <v>162.6</v>
      </c>
      <c r="N23">
        <v>163.6</v>
      </c>
      <c r="O23">
        <v>164.8</v>
      </c>
      <c r="P23">
        <v>166</v>
      </c>
      <c r="Q23">
        <v>167.3</v>
      </c>
      <c r="R23">
        <v>169.3</v>
      </c>
      <c r="S23">
        <v>171</v>
      </c>
      <c r="T23">
        <v>173.2</v>
      </c>
      <c r="U23">
        <v>175.1</v>
      </c>
      <c r="V23">
        <v>177.2</v>
      </c>
      <c r="W23">
        <v>178.7</v>
      </c>
      <c r="X23">
        <v>180.3</v>
      </c>
      <c r="Y23">
        <v>181.7</v>
      </c>
      <c r="Z23">
        <v>183.3</v>
      </c>
      <c r="AA23">
        <v>184.4</v>
      </c>
      <c r="AB23">
        <v>185.2</v>
      </c>
      <c r="AC23">
        <v>185.9</v>
      </c>
      <c r="AD23">
        <v>186.3</v>
      </c>
      <c r="AE23">
        <v>187</v>
      </c>
      <c r="AF23">
        <v>187</v>
      </c>
      <c r="AI23" s="21" t="s">
        <v>11</v>
      </c>
      <c r="AJ23" s="76">
        <v>0.58356583773637238</v>
      </c>
      <c r="AK23" s="76">
        <v>0.57331528370969742</v>
      </c>
      <c r="AL23" s="76">
        <v>0.59659705450519795</v>
      </c>
    </row>
    <row r="24" spans="1:38" x14ac:dyDescent="0.3">
      <c r="A24" t="s">
        <v>19</v>
      </c>
      <c r="B24" s="74" t="s">
        <v>30</v>
      </c>
      <c r="C24" t="s">
        <v>53</v>
      </c>
      <c r="D24" s="75">
        <f t="shared" si="0"/>
        <v>0.64988175264983561</v>
      </c>
      <c r="E24">
        <v>156.30000000000001</v>
      </c>
      <c r="F24">
        <v>156.80000000000001</v>
      </c>
      <c r="G24">
        <v>158.4</v>
      </c>
      <c r="H24">
        <v>158.9</v>
      </c>
      <c r="I24">
        <v>159.9</v>
      </c>
      <c r="J24">
        <v>164.5</v>
      </c>
      <c r="K24">
        <v>164.6</v>
      </c>
      <c r="L24">
        <v>165.3</v>
      </c>
      <c r="M24">
        <v>166.3</v>
      </c>
      <c r="N24">
        <v>167.1</v>
      </c>
      <c r="O24">
        <v>168.3</v>
      </c>
      <c r="P24">
        <v>169.8</v>
      </c>
      <c r="Q24">
        <v>171.2</v>
      </c>
      <c r="R24">
        <v>172.7</v>
      </c>
      <c r="S24">
        <v>173.7</v>
      </c>
      <c r="T24">
        <v>175.1</v>
      </c>
      <c r="U24">
        <v>177.1</v>
      </c>
      <c r="V24">
        <v>179</v>
      </c>
      <c r="W24">
        <v>180.4</v>
      </c>
      <c r="X24">
        <v>181.7</v>
      </c>
      <c r="Y24">
        <v>183</v>
      </c>
      <c r="Z24">
        <v>184.5</v>
      </c>
      <c r="AA24">
        <v>185.9</v>
      </c>
      <c r="AB24">
        <v>186.9</v>
      </c>
      <c r="AC24">
        <v>187.8</v>
      </c>
      <c r="AD24">
        <v>188.6</v>
      </c>
      <c r="AE24">
        <v>189.6</v>
      </c>
      <c r="AF24">
        <v>189.6</v>
      </c>
      <c r="AI24" s="21" t="s">
        <v>20</v>
      </c>
      <c r="AJ24" s="76" t="e">
        <v>#DIV/0!</v>
      </c>
      <c r="AK24" s="76">
        <v>0.58062590091830779</v>
      </c>
      <c r="AL24" s="76">
        <v>0.58062590091830779</v>
      </c>
    </row>
    <row r="25" spans="1:38" x14ac:dyDescent="0.3">
      <c r="A25" t="s">
        <v>20</v>
      </c>
      <c r="B25" s="74" t="s">
        <v>30</v>
      </c>
      <c r="C25" t="s">
        <v>20</v>
      </c>
      <c r="D25" s="75" t="e">
        <f t="shared" si="0"/>
        <v>#DIV/0!</v>
      </c>
      <c r="E25" t="s">
        <v>32</v>
      </c>
      <c r="F25" t="s">
        <v>32</v>
      </c>
      <c r="G25" t="s">
        <v>32</v>
      </c>
      <c r="H25" t="s">
        <v>48</v>
      </c>
      <c r="I25" t="s">
        <v>48</v>
      </c>
      <c r="J25" t="s">
        <v>32</v>
      </c>
      <c r="K25" t="s">
        <v>32</v>
      </c>
      <c r="L25" t="s">
        <v>32</v>
      </c>
      <c r="M25" t="s">
        <v>32</v>
      </c>
      <c r="N25" t="s">
        <v>32</v>
      </c>
      <c r="O25" t="s">
        <v>32</v>
      </c>
      <c r="P25" t="s">
        <v>32</v>
      </c>
      <c r="Q25" t="s">
        <v>32</v>
      </c>
      <c r="R25" t="s">
        <v>32</v>
      </c>
      <c r="S25" t="s">
        <v>32</v>
      </c>
      <c r="T25" t="s">
        <v>32</v>
      </c>
      <c r="U25" t="s">
        <v>32</v>
      </c>
      <c r="V25" t="s">
        <v>32</v>
      </c>
      <c r="W25" t="s">
        <v>32</v>
      </c>
      <c r="X25" t="s">
        <v>32</v>
      </c>
      <c r="Y25" t="s">
        <v>32</v>
      </c>
      <c r="Z25" t="s">
        <v>32</v>
      </c>
      <c r="AA25" t="s">
        <v>32</v>
      </c>
      <c r="AB25" t="s">
        <v>32</v>
      </c>
      <c r="AC25" t="s">
        <v>32</v>
      </c>
      <c r="AD25" t="s">
        <v>32</v>
      </c>
      <c r="AE25" t="s">
        <v>32</v>
      </c>
      <c r="AF25" t="s">
        <v>32</v>
      </c>
      <c r="AI25" s="21" t="s">
        <v>26</v>
      </c>
      <c r="AJ25" s="76">
        <v>0.58367873115505864</v>
      </c>
      <c r="AK25" s="76">
        <v>0.56530282829272271</v>
      </c>
      <c r="AL25" s="76">
        <v>0.55291078874698063</v>
      </c>
    </row>
    <row r="26" spans="1:38" x14ac:dyDescent="0.3">
      <c r="A26" t="s">
        <v>21</v>
      </c>
      <c r="B26" s="74" t="s">
        <v>30</v>
      </c>
      <c r="C26" t="s">
        <v>21</v>
      </c>
      <c r="D26" s="75">
        <f t="shared" si="0"/>
        <v>0.68652004508004316</v>
      </c>
      <c r="E26">
        <v>148.69999999999999</v>
      </c>
      <c r="F26">
        <v>150.9</v>
      </c>
      <c r="G26">
        <v>154.4</v>
      </c>
      <c r="H26">
        <v>156</v>
      </c>
      <c r="I26">
        <v>156</v>
      </c>
      <c r="J26">
        <v>161.69999999999999</v>
      </c>
      <c r="K26">
        <v>162.1</v>
      </c>
      <c r="L26">
        <v>162.5</v>
      </c>
      <c r="M26">
        <v>163.1</v>
      </c>
      <c r="N26">
        <v>163.69999999999999</v>
      </c>
      <c r="O26">
        <v>165.5</v>
      </c>
      <c r="P26">
        <v>165.3</v>
      </c>
      <c r="Q26">
        <v>165.6</v>
      </c>
      <c r="R26">
        <v>165.8</v>
      </c>
      <c r="S26">
        <v>167.4</v>
      </c>
      <c r="T26">
        <v>168.9</v>
      </c>
      <c r="U26">
        <v>173.3</v>
      </c>
      <c r="V26">
        <v>175.3</v>
      </c>
      <c r="W26">
        <v>176.7</v>
      </c>
      <c r="X26">
        <v>179.6</v>
      </c>
      <c r="Y26">
        <v>179.1</v>
      </c>
      <c r="Z26">
        <v>179.7</v>
      </c>
      <c r="AA26">
        <v>180.8</v>
      </c>
      <c r="AB26">
        <v>181.9</v>
      </c>
      <c r="AC26">
        <v>182.8</v>
      </c>
      <c r="AD26">
        <v>183.2</v>
      </c>
      <c r="AE26">
        <v>181.6</v>
      </c>
      <c r="AF26">
        <v>181.4</v>
      </c>
      <c r="AI26" s="21" t="s">
        <v>8</v>
      </c>
      <c r="AJ26" s="76">
        <v>0.64106986165868607</v>
      </c>
      <c r="AK26" s="76">
        <v>0.6037698236126493</v>
      </c>
      <c r="AL26" s="76">
        <v>0.54491401923217209</v>
      </c>
    </row>
    <row r="27" spans="1:38" x14ac:dyDescent="0.3">
      <c r="A27" t="s">
        <v>22</v>
      </c>
      <c r="B27" s="74" t="s">
        <v>30</v>
      </c>
      <c r="C27" t="s">
        <v>20</v>
      </c>
      <c r="D27" s="75">
        <f t="shared" si="0"/>
        <v>0.61651400861595163</v>
      </c>
      <c r="E27">
        <v>153.4</v>
      </c>
      <c r="F27">
        <v>153.9</v>
      </c>
      <c r="G27">
        <v>154.80000000000001</v>
      </c>
      <c r="H27">
        <v>154.80000000000001</v>
      </c>
      <c r="I27">
        <v>155.5</v>
      </c>
      <c r="J27">
        <v>158.80000000000001</v>
      </c>
      <c r="K27">
        <v>159.19999999999999</v>
      </c>
      <c r="L27">
        <v>160.30000000000001</v>
      </c>
      <c r="M27">
        <v>160.9</v>
      </c>
      <c r="N27">
        <v>161.30000000000001</v>
      </c>
      <c r="O27">
        <v>162</v>
      </c>
      <c r="P27">
        <v>162.9</v>
      </c>
      <c r="Q27">
        <v>163.9</v>
      </c>
      <c r="R27">
        <v>164.9</v>
      </c>
      <c r="S27">
        <v>165.7</v>
      </c>
      <c r="T27">
        <v>166.5</v>
      </c>
      <c r="U27">
        <v>167.7</v>
      </c>
      <c r="V27">
        <v>168.9</v>
      </c>
      <c r="W27">
        <v>170.3</v>
      </c>
      <c r="X27">
        <v>171.3</v>
      </c>
      <c r="Y27">
        <v>172.3</v>
      </c>
      <c r="Z27">
        <v>173.6</v>
      </c>
      <c r="AA27">
        <v>174.4</v>
      </c>
      <c r="AB27">
        <v>175.5</v>
      </c>
      <c r="AC27">
        <v>176.4</v>
      </c>
      <c r="AD27">
        <v>177.2</v>
      </c>
      <c r="AE27">
        <v>178.6</v>
      </c>
      <c r="AF27">
        <v>178.6</v>
      </c>
      <c r="AI27" s="21" t="s">
        <v>27</v>
      </c>
      <c r="AJ27" s="76">
        <v>0.5614245546516069</v>
      </c>
      <c r="AK27" s="76">
        <v>0.54573216251432155</v>
      </c>
      <c r="AL27" s="76">
        <v>0.51823921073517254</v>
      </c>
    </row>
    <row r="28" spans="1:38" x14ac:dyDescent="0.3">
      <c r="A28" t="s">
        <v>23</v>
      </c>
      <c r="B28" s="74" t="s">
        <v>30</v>
      </c>
      <c r="C28" t="s">
        <v>23</v>
      </c>
      <c r="D28" s="75">
        <f t="shared" si="0"/>
        <v>0.6313152368718854</v>
      </c>
      <c r="E28">
        <v>161.6</v>
      </c>
      <c r="F28">
        <v>162.5</v>
      </c>
      <c r="G28">
        <v>164.3</v>
      </c>
      <c r="H28">
        <v>164.6</v>
      </c>
      <c r="I28">
        <v>165.3</v>
      </c>
      <c r="J28">
        <v>169.1</v>
      </c>
      <c r="K28">
        <v>169.7</v>
      </c>
      <c r="L28">
        <v>170.4</v>
      </c>
      <c r="M28">
        <v>171.1</v>
      </c>
      <c r="N28">
        <v>171.9</v>
      </c>
      <c r="O28">
        <v>172.5</v>
      </c>
      <c r="P28">
        <v>173.4</v>
      </c>
      <c r="Q28">
        <v>174</v>
      </c>
      <c r="R28">
        <v>174.7</v>
      </c>
      <c r="S28">
        <v>175.3</v>
      </c>
      <c r="T28">
        <v>176</v>
      </c>
      <c r="U28">
        <v>177</v>
      </c>
      <c r="V28">
        <v>177.7</v>
      </c>
      <c r="W28">
        <v>178.2</v>
      </c>
      <c r="X28">
        <v>178.8</v>
      </c>
      <c r="Y28">
        <v>179.4</v>
      </c>
      <c r="Z28">
        <v>180.2</v>
      </c>
      <c r="AA28">
        <v>181.2</v>
      </c>
      <c r="AB28">
        <v>182.3</v>
      </c>
      <c r="AC28">
        <v>183.5</v>
      </c>
      <c r="AD28">
        <v>184.7</v>
      </c>
      <c r="AE28">
        <v>186.6</v>
      </c>
      <c r="AF28">
        <v>186.6</v>
      </c>
      <c r="AI28" s="21" t="s">
        <v>16</v>
      </c>
      <c r="AJ28" s="76">
        <v>0.60100446818917985</v>
      </c>
      <c r="AK28" s="76">
        <v>0.58049367771424432</v>
      </c>
      <c r="AL28" s="76">
        <v>0.51664527918801773</v>
      </c>
    </row>
    <row r="29" spans="1:38" x14ac:dyDescent="0.3">
      <c r="A29" t="s">
        <v>24</v>
      </c>
      <c r="B29" s="74" t="s">
        <v>30</v>
      </c>
      <c r="C29" t="s">
        <v>54</v>
      </c>
      <c r="D29" s="75">
        <f t="shared" si="0"/>
        <v>0.75422626542690707</v>
      </c>
      <c r="E29">
        <v>146.4</v>
      </c>
      <c r="F29">
        <v>147.5</v>
      </c>
      <c r="G29">
        <v>150.19999999999999</v>
      </c>
      <c r="H29">
        <v>151.30000000000001</v>
      </c>
      <c r="I29">
        <v>151.69999999999999</v>
      </c>
      <c r="J29">
        <v>153.19999999999999</v>
      </c>
      <c r="K29">
        <v>154.19999999999999</v>
      </c>
      <c r="L29">
        <v>157.1</v>
      </c>
      <c r="M29">
        <v>157.69999999999999</v>
      </c>
      <c r="N29">
        <v>157.80000000000001</v>
      </c>
      <c r="O29">
        <v>159.5</v>
      </c>
      <c r="P29">
        <v>158.9</v>
      </c>
      <c r="Q29">
        <v>160.1</v>
      </c>
      <c r="R29">
        <v>160.80000000000001</v>
      </c>
      <c r="S29">
        <v>161.19999999999999</v>
      </c>
      <c r="T29">
        <v>162</v>
      </c>
      <c r="U29">
        <v>166.2</v>
      </c>
      <c r="V29">
        <v>167.1</v>
      </c>
      <c r="W29">
        <v>165.5</v>
      </c>
      <c r="X29">
        <v>166.3</v>
      </c>
      <c r="Y29">
        <v>166.6</v>
      </c>
      <c r="Z29">
        <v>166.9</v>
      </c>
      <c r="AA29">
        <v>167.4</v>
      </c>
      <c r="AB29">
        <v>167.5</v>
      </c>
      <c r="AC29">
        <v>167.8</v>
      </c>
      <c r="AD29">
        <v>168.2</v>
      </c>
      <c r="AE29">
        <v>169</v>
      </c>
      <c r="AF29">
        <v>169</v>
      </c>
      <c r="AI29" s="21" t="s">
        <v>6</v>
      </c>
      <c r="AJ29" s="76">
        <v>0.49208177665131331</v>
      </c>
      <c r="AK29" s="76">
        <v>0.49054554470049516</v>
      </c>
      <c r="AL29" s="76">
        <v>0.48804737960574901</v>
      </c>
    </row>
    <row r="30" spans="1:38" x14ac:dyDescent="0.3">
      <c r="A30" t="s">
        <v>25</v>
      </c>
      <c r="B30" s="74" t="s">
        <v>30</v>
      </c>
      <c r="C30" t="s">
        <v>25</v>
      </c>
      <c r="D30" s="75">
        <f t="shared" si="0"/>
        <v>0.68906697759853153</v>
      </c>
      <c r="E30">
        <v>153.9</v>
      </c>
      <c r="F30">
        <v>155.1</v>
      </c>
      <c r="G30">
        <v>157</v>
      </c>
      <c r="H30">
        <v>157.80000000000001</v>
      </c>
      <c r="I30">
        <v>158.6</v>
      </c>
      <c r="J30">
        <v>160</v>
      </c>
      <c r="K30">
        <v>160.4</v>
      </c>
      <c r="L30">
        <v>160.69999999999999</v>
      </c>
      <c r="M30">
        <v>161.1</v>
      </c>
      <c r="N30">
        <v>162.69999999999999</v>
      </c>
      <c r="O30">
        <v>163.19999999999999</v>
      </c>
      <c r="P30">
        <v>163.80000000000001</v>
      </c>
      <c r="Q30">
        <v>164.5</v>
      </c>
      <c r="R30">
        <v>164.9</v>
      </c>
      <c r="S30">
        <v>165.5</v>
      </c>
      <c r="T30">
        <v>166.6</v>
      </c>
      <c r="U30">
        <v>167.2</v>
      </c>
      <c r="V30">
        <v>167.6</v>
      </c>
      <c r="W30">
        <v>168</v>
      </c>
      <c r="X30">
        <v>168.6</v>
      </c>
      <c r="Y30">
        <v>169.3</v>
      </c>
      <c r="Z30">
        <v>170</v>
      </c>
      <c r="AA30">
        <v>170.6</v>
      </c>
      <c r="AB30">
        <v>170.8</v>
      </c>
      <c r="AC30">
        <v>171.2</v>
      </c>
      <c r="AD30">
        <v>171.8</v>
      </c>
      <c r="AE30">
        <v>172.8</v>
      </c>
      <c r="AF30">
        <v>172.8</v>
      </c>
      <c r="AI30" s="21" t="s">
        <v>12</v>
      </c>
      <c r="AJ30" s="76">
        <v>0.4709749042074689</v>
      </c>
      <c r="AK30" s="76">
        <v>0.46693302033217432</v>
      </c>
      <c r="AL30" s="76">
        <v>0.45829348646500984</v>
      </c>
    </row>
    <row r="31" spans="1:38" x14ac:dyDescent="0.3">
      <c r="A31" t="s">
        <v>26</v>
      </c>
      <c r="B31" s="74" t="s">
        <v>30</v>
      </c>
      <c r="C31" t="s">
        <v>26</v>
      </c>
      <c r="D31" s="75">
        <f t="shared" si="0"/>
        <v>0.58367873115505864</v>
      </c>
      <c r="E31">
        <v>162.9</v>
      </c>
      <c r="F31">
        <v>163.5</v>
      </c>
      <c r="G31">
        <v>163.6</v>
      </c>
      <c r="H31">
        <v>163.80000000000001</v>
      </c>
      <c r="I31">
        <v>164.1</v>
      </c>
      <c r="J31">
        <v>167.6</v>
      </c>
      <c r="K31">
        <v>166.8</v>
      </c>
      <c r="L31">
        <v>167.2</v>
      </c>
      <c r="M31">
        <v>167.5</v>
      </c>
      <c r="N31">
        <v>168.5</v>
      </c>
      <c r="O31">
        <v>169</v>
      </c>
      <c r="P31">
        <v>169.3</v>
      </c>
      <c r="Q31">
        <v>169.7</v>
      </c>
      <c r="R31">
        <v>169.9</v>
      </c>
      <c r="S31">
        <v>170.3</v>
      </c>
      <c r="T31">
        <v>170.6</v>
      </c>
      <c r="U31">
        <v>170.9</v>
      </c>
      <c r="V31">
        <v>171.8</v>
      </c>
      <c r="W31">
        <v>172.6</v>
      </c>
      <c r="X31">
        <v>174.7</v>
      </c>
      <c r="Y31">
        <v>175.7</v>
      </c>
      <c r="Z31">
        <v>176.2</v>
      </c>
      <c r="AA31">
        <v>176.5</v>
      </c>
      <c r="AB31">
        <v>176.9</v>
      </c>
      <c r="AC31">
        <v>177.3</v>
      </c>
      <c r="AD31">
        <v>177.8</v>
      </c>
      <c r="AE31">
        <v>178.5</v>
      </c>
      <c r="AF31">
        <v>178.5</v>
      </c>
      <c r="AI31" s="21" t="s">
        <v>3</v>
      </c>
      <c r="AJ31" s="76">
        <v>0.35015775691604245</v>
      </c>
      <c r="AK31" s="76">
        <v>0.35390489488918025</v>
      </c>
      <c r="AL31" s="76">
        <v>0.36599495618539468</v>
      </c>
    </row>
    <row r="32" spans="1:38" x14ac:dyDescent="0.3">
      <c r="A32" t="s">
        <v>27</v>
      </c>
      <c r="B32" s="74" t="s">
        <v>30</v>
      </c>
      <c r="C32" t="s">
        <v>27</v>
      </c>
      <c r="D32" s="75">
        <f t="shared" si="0"/>
        <v>0.5614245546516069</v>
      </c>
      <c r="E32">
        <v>156.6</v>
      </c>
      <c r="F32">
        <v>156.19999999999999</v>
      </c>
      <c r="G32">
        <v>155.19999999999999</v>
      </c>
      <c r="H32">
        <v>153.1</v>
      </c>
      <c r="I32">
        <v>154.6</v>
      </c>
      <c r="J32">
        <v>159.30000000000001</v>
      </c>
      <c r="K32">
        <v>159.4</v>
      </c>
      <c r="L32">
        <v>160.4</v>
      </c>
      <c r="M32">
        <v>160.30000000000001</v>
      </c>
      <c r="N32">
        <v>160.19999999999999</v>
      </c>
      <c r="O32">
        <v>161.1</v>
      </c>
      <c r="P32">
        <v>162.4</v>
      </c>
      <c r="Q32">
        <v>162.80000000000001</v>
      </c>
      <c r="R32">
        <v>163.19999999999999</v>
      </c>
      <c r="S32">
        <v>164.5</v>
      </c>
      <c r="T32">
        <v>167.4</v>
      </c>
      <c r="U32">
        <v>169</v>
      </c>
      <c r="V32">
        <v>168.5</v>
      </c>
      <c r="W32">
        <v>169.5</v>
      </c>
      <c r="X32">
        <v>169.7</v>
      </c>
      <c r="Y32">
        <v>171.1</v>
      </c>
      <c r="Z32">
        <v>170.8</v>
      </c>
      <c r="AA32">
        <v>172</v>
      </c>
      <c r="AB32">
        <v>173.4</v>
      </c>
      <c r="AC32">
        <v>175.7</v>
      </c>
      <c r="AD32">
        <v>178.4</v>
      </c>
      <c r="AE32">
        <v>180.7</v>
      </c>
      <c r="AF32">
        <v>180.7</v>
      </c>
      <c r="AI32" s="21" t="s">
        <v>9</v>
      </c>
      <c r="AJ32" s="76">
        <v>-4.2841758808321882E-2</v>
      </c>
      <c r="AK32" s="76">
        <v>5.5923122604335171E-2</v>
      </c>
      <c r="AL32" s="76">
        <v>0.22199555529250886</v>
      </c>
    </row>
    <row r="33" spans="1:38" x14ac:dyDescent="0.3">
      <c r="A33" t="s">
        <v>28</v>
      </c>
      <c r="B33" s="74" t="s">
        <v>30</v>
      </c>
      <c r="C33" t="s">
        <v>58</v>
      </c>
      <c r="D33" s="75">
        <f t="shared" si="0"/>
        <v>0.65871203375453724</v>
      </c>
      <c r="E33">
        <v>155.19999999999999</v>
      </c>
      <c r="F33">
        <v>155.9</v>
      </c>
      <c r="G33">
        <v>157.19999999999999</v>
      </c>
      <c r="H33">
        <v>157.30000000000001</v>
      </c>
      <c r="I33">
        <v>158</v>
      </c>
      <c r="J33">
        <v>161.1</v>
      </c>
      <c r="K33">
        <v>161.5</v>
      </c>
      <c r="L33">
        <v>162.80000000000001</v>
      </c>
      <c r="M33">
        <v>163.30000000000001</v>
      </c>
      <c r="N33">
        <v>163.80000000000001</v>
      </c>
      <c r="O33">
        <v>164.7</v>
      </c>
      <c r="P33">
        <v>165.2</v>
      </c>
      <c r="Q33">
        <v>166</v>
      </c>
      <c r="R33">
        <v>166.6</v>
      </c>
      <c r="S33">
        <v>167.3</v>
      </c>
      <c r="T33">
        <v>168.3</v>
      </c>
      <c r="U33">
        <v>170.2</v>
      </c>
      <c r="V33">
        <v>170.9</v>
      </c>
      <c r="W33">
        <v>171</v>
      </c>
      <c r="X33">
        <v>171.8</v>
      </c>
      <c r="Y33">
        <v>172.6</v>
      </c>
      <c r="Z33">
        <v>173.1</v>
      </c>
      <c r="AA33">
        <v>173.9</v>
      </c>
      <c r="AB33">
        <v>174.6</v>
      </c>
      <c r="AC33">
        <v>175.5</v>
      </c>
      <c r="AD33">
        <v>176.5</v>
      </c>
      <c r="AE33">
        <v>177.9</v>
      </c>
      <c r="AF33">
        <v>177.9</v>
      </c>
      <c r="AI33" s="21" t="s">
        <v>10</v>
      </c>
      <c r="AJ33" s="76">
        <v>0.42140673511596438</v>
      </c>
      <c r="AK33" s="76">
        <v>0.34068109477860187</v>
      </c>
      <c r="AL33" s="76">
        <v>0.18291924602534482</v>
      </c>
    </row>
    <row r="34" spans="1:38" x14ac:dyDescent="0.3">
      <c r="A34" t="s">
        <v>29</v>
      </c>
      <c r="B34" s="74" t="s">
        <v>30</v>
      </c>
      <c r="C34" t="s">
        <v>55</v>
      </c>
      <c r="D34" s="75">
        <f t="shared" si="0"/>
        <v>0.64481964318472185</v>
      </c>
      <c r="E34">
        <v>160.69999999999999</v>
      </c>
      <c r="F34">
        <v>158.5</v>
      </c>
      <c r="G34">
        <v>156.69999999999999</v>
      </c>
      <c r="H34">
        <v>156.69999999999999</v>
      </c>
      <c r="I34">
        <v>157.6</v>
      </c>
      <c r="J34">
        <v>161.1</v>
      </c>
      <c r="K34">
        <v>162.1</v>
      </c>
      <c r="L34">
        <v>163.19999999999999</v>
      </c>
      <c r="M34">
        <v>163.6</v>
      </c>
      <c r="N34">
        <v>164</v>
      </c>
      <c r="O34">
        <v>166.3</v>
      </c>
      <c r="P34">
        <v>167.6</v>
      </c>
      <c r="Q34">
        <v>167</v>
      </c>
      <c r="R34">
        <v>166.4</v>
      </c>
      <c r="S34">
        <v>166.7</v>
      </c>
      <c r="T34">
        <v>168.7</v>
      </c>
      <c r="U34">
        <v>170.8</v>
      </c>
      <c r="V34">
        <v>172.5</v>
      </c>
      <c r="W34">
        <v>173.6</v>
      </c>
      <c r="X34">
        <v>174.3</v>
      </c>
      <c r="Y34">
        <v>175.3</v>
      </c>
      <c r="Z34">
        <v>176.4</v>
      </c>
      <c r="AA34">
        <v>177.9</v>
      </c>
      <c r="AB34">
        <v>177.8</v>
      </c>
      <c r="AC34">
        <v>177.1</v>
      </c>
      <c r="AD34">
        <v>177.8</v>
      </c>
      <c r="AE34">
        <v>178</v>
      </c>
      <c r="AF34">
        <v>178</v>
      </c>
      <c r="AI34" s="21" t="s">
        <v>5</v>
      </c>
      <c r="AJ34" s="76">
        <v>-0.1705978427197021</v>
      </c>
      <c r="AK34" s="76">
        <v>-0.18908169545002326</v>
      </c>
      <c r="AL34" s="76">
        <v>-0.23519088860405676</v>
      </c>
    </row>
    <row r="41" spans="1:38" x14ac:dyDescent="0.3">
      <c r="A41" t="s">
        <v>49</v>
      </c>
      <c r="B41" t="s">
        <v>0</v>
      </c>
      <c r="C41" t="s">
        <v>189</v>
      </c>
      <c r="D41" s="75" t="s">
        <v>190</v>
      </c>
      <c r="E41" t="s">
        <v>111</v>
      </c>
      <c r="F41" t="s">
        <v>112</v>
      </c>
      <c r="G41" t="s">
        <v>113</v>
      </c>
      <c r="H41" t="s">
        <v>114</v>
      </c>
      <c r="I41" t="s">
        <v>115</v>
      </c>
      <c r="J41" t="s">
        <v>116</v>
      </c>
      <c r="K41" t="s">
        <v>117</v>
      </c>
      <c r="L41" t="s">
        <v>118</v>
      </c>
      <c r="M41" t="s">
        <v>119</v>
      </c>
      <c r="N41" t="s">
        <v>120</v>
      </c>
      <c r="O41" t="s">
        <v>121</v>
      </c>
      <c r="P41" t="s">
        <v>122</v>
      </c>
      <c r="Q41" t="s">
        <v>123</v>
      </c>
      <c r="R41" t="s">
        <v>124</v>
      </c>
      <c r="S41" t="s">
        <v>125</v>
      </c>
      <c r="T41" t="s">
        <v>126</v>
      </c>
      <c r="U41" t="s">
        <v>127</v>
      </c>
      <c r="V41" t="s">
        <v>128</v>
      </c>
      <c r="W41" t="s">
        <v>129</v>
      </c>
      <c r="X41" t="s">
        <v>130</v>
      </c>
      <c r="Y41" t="s">
        <v>131</v>
      </c>
      <c r="Z41" t="s">
        <v>132</v>
      </c>
      <c r="AA41" t="s">
        <v>133</v>
      </c>
      <c r="AB41" t="s">
        <v>134</v>
      </c>
      <c r="AC41" t="s">
        <v>135</v>
      </c>
      <c r="AD41" t="s">
        <v>136</v>
      </c>
      <c r="AE41" t="s">
        <v>137</v>
      </c>
      <c r="AF41" t="s">
        <v>138</v>
      </c>
    </row>
    <row r="42" spans="1:38" x14ac:dyDescent="0.3">
      <c r="A42" t="s">
        <v>3</v>
      </c>
      <c r="B42" s="74" t="s">
        <v>34</v>
      </c>
      <c r="C42" t="s">
        <v>51</v>
      </c>
      <c r="D42" s="75">
        <f t="shared" ref="D42:D68" si="1">CORREL($E$3:$AF$3,E42:AF42)</f>
        <v>0.35390489488918025</v>
      </c>
      <c r="E42">
        <v>146</v>
      </c>
      <c r="F42">
        <v>144.9</v>
      </c>
      <c r="G42">
        <v>144.30000000000001</v>
      </c>
      <c r="H42">
        <v>144.1</v>
      </c>
      <c r="I42">
        <v>144.30000000000001</v>
      </c>
      <c r="J42">
        <v>146.30000000000001</v>
      </c>
      <c r="K42">
        <v>146.69999999999999</v>
      </c>
      <c r="L42">
        <v>146.4</v>
      </c>
      <c r="M42">
        <v>146.6</v>
      </c>
      <c r="N42">
        <v>146.6</v>
      </c>
      <c r="O42">
        <v>147.4</v>
      </c>
      <c r="P42">
        <v>148.19999999999999</v>
      </c>
      <c r="Q42">
        <v>148.69999999999999</v>
      </c>
      <c r="R42">
        <v>149.5</v>
      </c>
      <c r="S42">
        <v>150</v>
      </c>
      <c r="T42">
        <v>151.30000000000001</v>
      </c>
      <c r="U42">
        <v>152.9</v>
      </c>
      <c r="V42">
        <v>154.1</v>
      </c>
      <c r="W42">
        <v>155</v>
      </c>
      <c r="X42">
        <v>156.5</v>
      </c>
      <c r="Y42">
        <v>160.30000000000001</v>
      </c>
      <c r="Z42">
        <v>163.5</v>
      </c>
      <c r="AA42">
        <v>165.2</v>
      </c>
      <c r="AB42">
        <v>167.4</v>
      </c>
      <c r="AC42">
        <v>169.2</v>
      </c>
      <c r="AD42">
        <v>173.8</v>
      </c>
      <c r="AE42">
        <v>174.4</v>
      </c>
      <c r="AF42">
        <v>174.4</v>
      </c>
    </row>
    <row r="43" spans="1:38" x14ac:dyDescent="0.3">
      <c r="A43" t="s">
        <v>4</v>
      </c>
      <c r="B43" s="74" t="s">
        <v>34</v>
      </c>
      <c r="C43" t="s">
        <v>51</v>
      </c>
      <c r="D43" s="75">
        <f t="shared" si="1"/>
        <v>0.83598749729266875</v>
      </c>
      <c r="E43">
        <v>191</v>
      </c>
      <c r="F43">
        <v>190.1</v>
      </c>
      <c r="G43">
        <v>186.5</v>
      </c>
      <c r="H43">
        <v>192.2</v>
      </c>
      <c r="I43">
        <v>198</v>
      </c>
      <c r="J43">
        <v>200.5</v>
      </c>
      <c r="K43">
        <v>202</v>
      </c>
      <c r="L43">
        <v>206.8</v>
      </c>
      <c r="M43">
        <v>204</v>
      </c>
      <c r="N43">
        <v>204</v>
      </c>
      <c r="O43">
        <v>204.6</v>
      </c>
      <c r="P43">
        <v>201.6</v>
      </c>
      <c r="Q43">
        <v>198.8</v>
      </c>
      <c r="R43">
        <v>198.7</v>
      </c>
      <c r="S43">
        <v>200.6</v>
      </c>
      <c r="T43">
        <v>210.7</v>
      </c>
      <c r="U43">
        <v>211.8</v>
      </c>
      <c r="V43">
        <v>217</v>
      </c>
      <c r="W43">
        <v>219.4</v>
      </c>
      <c r="X43">
        <v>213</v>
      </c>
      <c r="Y43">
        <v>206.5</v>
      </c>
      <c r="Z43">
        <v>209.2</v>
      </c>
      <c r="AA43">
        <v>210.9</v>
      </c>
      <c r="AB43">
        <v>209.4</v>
      </c>
      <c r="AC43">
        <v>209</v>
      </c>
      <c r="AD43">
        <v>210.7</v>
      </c>
      <c r="AE43">
        <v>207.7</v>
      </c>
      <c r="AF43">
        <v>207.7</v>
      </c>
    </row>
    <row r="44" spans="1:38" x14ac:dyDescent="0.3">
      <c r="A44" t="s">
        <v>5</v>
      </c>
      <c r="B44" s="74" t="s">
        <v>34</v>
      </c>
      <c r="C44" t="s">
        <v>51</v>
      </c>
      <c r="D44" s="75">
        <f t="shared" si="1"/>
        <v>-0.18908169545002326</v>
      </c>
      <c r="E44">
        <v>175.3</v>
      </c>
      <c r="F44">
        <v>175.3</v>
      </c>
      <c r="G44">
        <v>168.7</v>
      </c>
      <c r="H44">
        <v>163.80000000000001</v>
      </c>
      <c r="I44">
        <v>164.6</v>
      </c>
      <c r="J44">
        <v>170.3</v>
      </c>
      <c r="K44">
        <v>180.7</v>
      </c>
      <c r="L44">
        <v>182.2</v>
      </c>
      <c r="M44">
        <v>172.8</v>
      </c>
      <c r="N44">
        <v>172.8</v>
      </c>
      <c r="O44">
        <v>171.2</v>
      </c>
      <c r="P44">
        <v>173</v>
      </c>
      <c r="Q44">
        <v>177.9</v>
      </c>
      <c r="R44">
        <v>178.8</v>
      </c>
      <c r="S44">
        <v>175.8</v>
      </c>
      <c r="T44">
        <v>167.8</v>
      </c>
      <c r="U44">
        <v>164.5</v>
      </c>
      <c r="V44">
        <v>162.4</v>
      </c>
      <c r="W44">
        <v>170.8</v>
      </c>
      <c r="X44">
        <v>175.2</v>
      </c>
      <c r="Y44">
        <v>169.2</v>
      </c>
      <c r="Z44">
        <v>169.7</v>
      </c>
      <c r="AA44">
        <v>170.9</v>
      </c>
      <c r="AB44">
        <v>181.4</v>
      </c>
      <c r="AC44">
        <v>190.2</v>
      </c>
      <c r="AD44">
        <v>194.5</v>
      </c>
      <c r="AE44">
        <v>175.2</v>
      </c>
      <c r="AF44">
        <v>175.2</v>
      </c>
    </row>
    <row r="45" spans="1:38" x14ac:dyDescent="0.3">
      <c r="A45" t="s">
        <v>6</v>
      </c>
      <c r="B45" s="74" t="s">
        <v>34</v>
      </c>
      <c r="C45" t="s">
        <v>51</v>
      </c>
      <c r="D45" s="75">
        <f t="shared" si="1"/>
        <v>0.49054554470049516</v>
      </c>
      <c r="E45">
        <v>154.1</v>
      </c>
      <c r="F45">
        <v>154.1</v>
      </c>
      <c r="G45">
        <v>154.69999999999999</v>
      </c>
      <c r="H45">
        <v>154.9</v>
      </c>
      <c r="I45">
        <v>155.4</v>
      </c>
      <c r="J45">
        <v>156.1</v>
      </c>
      <c r="K45">
        <v>156.19999999999999</v>
      </c>
      <c r="L45">
        <v>157.5</v>
      </c>
      <c r="M45">
        <v>158.4</v>
      </c>
      <c r="N45">
        <v>158.4</v>
      </c>
      <c r="O45">
        <v>158.69999999999999</v>
      </c>
      <c r="P45">
        <v>159.30000000000001</v>
      </c>
      <c r="Q45">
        <v>159.9</v>
      </c>
      <c r="R45">
        <v>160.5</v>
      </c>
      <c r="S45">
        <v>160.69999999999999</v>
      </c>
      <c r="T45">
        <v>162.19999999999999</v>
      </c>
      <c r="U45">
        <v>163.9</v>
      </c>
      <c r="V45">
        <v>164.9</v>
      </c>
      <c r="W45">
        <v>165.8</v>
      </c>
      <c r="X45">
        <v>166.6</v>
      </c>
      <c r="Y45">
        <v>168.1</v>
      </c>
      <c r="Z45">
        <v>169.7</v>
      </c>
      <c r="AA45">
        <v>170.9</v>
      </c>
      <c r="AB45">
        <v>172.3</v>
      </c>
      <c r="AC45">
        <v>173.6</v>
      </c>
      <c r="AD45">
        <v>174.6</v>
      </c>
      <c r="AE45">
        <v>177.3</v>
      </c>
      <c r="AF45">
        <v>177.3</v>
      </c>
    </row>
    <row r="46" spans="1:38" x14ac:dyDescent="0.3">
      <c r="A46" t="s">
        <v>7</v>
      </c>
      <c r="B46" s="74" t="s">
        <v>34</v>
      </c>
      <c r="C46" t="s">
        <v>51</v>
      </c>
      <c r="D46" s="75">
        <f t="shared" si="1"/>
        <v>0.84422772692376136</v>
      </c>
      <c r="E46">
        <v>146.6</v>
      </c>
      <c r="F46">
        <v>150.9</v>
      </c>
      <c r="G46">
        <v>158.69999999999999</v>
      </c>
      <c r="H46">
        <v>163.9</v>
      </c>
      <c r="I46">
        <v>170.1</v>
      </c>
      <c r="J46">
        <v>178.7</v>
      </c>
      <c r="K46">
        <v>183.7</v>
      </c>
      <c r="L46">
        <v>182.1</v>
      </c>
      <c r="M46">
        <v>188</v>
      </c>
      <c r="N46">
        <v>188</v>
      </c>
      <c r="O46">
        <v>190.6</v>
      </c>
      <c r="P46">
        <v>190.1</v>
      </c>
      <c r="Q46">
        <v>187.6</v>
      </c>
      <c r="R46">
        <v>184.7</v>
      </c>
      <c r="S46">
        <v>184.9</v>
      </c>
      <c r="T46">
        <v>194.6</v>
      </c>
      <c r="U46">
        <v>199.5</v>
      </c>
      <c r="V46">
        <v>202.4</v>
      </c>
      <c r="W46">
        <v>200.9</v>
      </c>
      <c r="X46">
        <v>195.8</v>
      </c>
      <c r="Y46">
        <v>192.4</v>
      </c>
      <c r="Z46">
        <v>188.7</v>
      </c>
      <c r="AA46">
        <v>186.5</v>
      </c>
      <c r="AB46">
        <v>188.9</v>
      </c>
      <c r="AC46">
        <v>188.5</v>
      </c>
      <c r="AD46">
        <v>187.2</v>
      </c>
      <c r="AE46">
        <v>179.3</v>
      </c>
      <c r="AF46">
        <v>179.2</v>
      </c>
    </row>
    <row r="47" spans="1:38" x14ac:dyDescent="0.3">
      <c r="A47" t="s">
        <v>8</v>
      </c>
      <c r="B47" s="74" t="s">
        <v>34</v>
      </c>
      <c r="C47" t="s">
        <v>51</v>
      </c>
      <c r="D47" s="75">
        <f t="shared" si="1"/>
        <v>0.6037698236126493</v>
      </c>
      <c r="E47">
        <v>147.69999999999999</v>
      </c>
      <c r="F47">
        <v>149.6</v>
      </c>
      <c r="G47">
        <v>150.69999999999999</v>
      </c>
      <c r="H47">
        <v>153.69999999999999</v>
      </c>
      <c r="I47">
        <v>164.4</v>
      </c>
      <c r="J47">
        <v>167.1</v>
      </c>
      <c r="K47">
        <v>164.6</v>
      </c>
      <c r="L47">
        <v>163.9</v>
      </c>
      <c r="M47">
        <v>156.80000000000001</v>
      </c>
      <c r="N47">
        <v>156.69999999999999</v>
      </c>
      <c r="O47">
        <v>155.69999999999999</v>
      </c>
      <c r="P47">
        <v>156.5</v>
      </c>
      <c r="Q47">
        <v>154.9</v>
      </c>
      <c r="R47">
        <v>153.69999999999999</v>
      </c>
      <c r="S47">
        <v>153.69999999999999</v>
      </c>
      <c r="T47">
        <v>157.6</v>
      </c>
      <c r="U47">
        <v>172.6</v>
      </c>
      <c r="V47">
        <v>171</v>
      </c>
      <c r="W47">
        <v>169.7</v>
      </c>
      <c r="X47">
        <v>174.2</v>
      </c>
      <c r="Y47">
        <v>172.9</v>
      </c>
      <c r="Z47">
        <v>165.7</v>
      </c>
      <c r="AA47">
        <v>163.80000000000001</v>
      </c>
      <c r="AB47">
        <v>160.69999999999999</v>
      </c>
      <c r="AC47">
        <v>158</v>
      </c>
      <c r="AD47">
        <v>158.30000000000001</v>
      </c>
      <c r="AE47">
        <v>169.5</v>
      </c>
      <c r="AF47">
        <v>169.5</v>
      </c>
    </row>
    <row r="48" spans="1:38" x14ac:dyDescent="0.3">
      <c r="A48" t="s">
        <v>9</v>
      </c>
      <c r="B48" s="74" t="s">
        <v>34</v>
      </c>
      <c r="C48" t="s">
        <v>51</v>
      </c>
      <c r="D48" s="75">
        <f t="shared" si="1"/>
        <v>5.5923122604335171E-2</v>
      </c>
      <c r="E48">
        <v>230.5</v>
      </c>
      <c r="F48">
        <v>194.2</v>
      </c>
      <c r="G48">
        <v>160</v>
      </c>
      <c r="H48">
        <v>149.5</v>
      </c>
      <c r="I48">
        <v>144.1</v>
      </c>
      <c r="J48">
        <v>147.9</v>
      </c>
      <c r="K48">
        <v>155.4</v>
      </c>
      <c r="L48">
        <v>164.2</v>
      </c>
      <c r="M48">
        <v>162.19999999999999</v>
      </c>
      <c r="N48">
        <v>162.30000000000001</v>
      </c>
      <c r="O48">
        <v>185.3</v>
      </c>
      <c r="P48">
        <v>199.2</v>
      </c>
      <c r="Q48">
        <v>188.3</v>
      </c>
      <c r="R48">
        <v>174.3</v>
      </c>
      <c r="S48">
        <v>169.7</v>
      </c>
      <c r="T48">
        <v>166.9</v>
      </c>
      <c r="U48">
        <v>166.2</v>
      </c>
      <c r="V48">
        <v>174.9</v>
      </c>
      <c r="W48">
        <v>182.3</v>
      </c>
      <c r="X48">
        <v>182.1</v>
      </c>
      <c r="Y48">
        <v>186.7</v>
      </c>
      <c r="Z48">
        <v>191.8</v>
      </c>
      <c r="AA48">
        <v>199.7</v>
      </c>
      <c r="AB48">
        <v>183.1</v>
      </c>
      <c r="AC48">
        <v>159.9</v>
      </c>
      <c r="AD48">
        <v>153.9</v>
      </c>
      <c r="AE48">
        <v>152.69999999999999</v>
      </c>
      <c r="AF48">
        <v>152.80000000000001</v>
      </c>
    </row>
    <row r="49" spans="1:32" x14ac:dyDescent="0.3">
      <c r="A49" t="s">
        <v>10</v>
      </c>
      <c r="B49" s="74" t="s">
        <v>34</v>
      </c>
      <c r="C49" t="s">
        <v>51</v>
      </c>
      <c r="D49" s="75">
        <f t="shared" si="1"/>
        <v>0.34068109477860187</v>
      </c>
      <c r="E49">
        <v>160.19999999999999</v>
      </c>
      <c r="F49">
        <v>160.4</v>
      </c>
      <c r="G49">
        <v>158.80000000000001</v>
      </c>
      <c r="H49">
        <v>159.80000000000001</v>
      </c>
      <c r="I49">
        <v>161.69999999999999</v>
      </c>
      <c r="J49">
        <v>165.4</v>
      </c>
      <c r="K49">
        <v>166</v>
      </c>
      <c r="L49">
        <v>164</v>
      </c>
      <c r="M49">
        <v>164.1</v>
      </c>
      <c r="N49">
        <v>164.1</v>
      </c>
      <c r="O49">
        <v>165.2</v>
      </c>
      <c r="P49">
        <v>165.3</v>
      </c>
      <c r="Q49">
        <v>164.4</v>
      </c>
      <c r="R49">
        <v>163.9</v>
      </c>
      <c r="S49">
        <v>163.69999999999999</v>
      </c>
      <c r="T49">
        <v>163.9</v>
      </c>
      <c r="U49">
        <v>164.7</v>
      </c>
      <c r="V49">
        <v>164.7</v>
      </c>
      <c r="W49">
        <v>164.3</v>
      </c>
      <c r="X49">
        <v>164.3</v>
      </c>
      <c r="Y49">
        <v>167.2</v>
      </c>
      <c r="Z49">
        <v>169.1</v>
      </c>
      <c r="AA49">
        <v>169.8</v>
      </c>
      <c r="AB49">
        <v>170.5</v>
      </c>
      <c r="AC49">
        <v>170.8</v>
      </c>
      <c r="AD49">
        <v>170.9</v>
      </c>
      <c r="AE49">
        <v>171</v>
      </c>
      <c r="AF49">
        <v>171.1</v>
      </c>
    </row>
    <row r="50" spans="1:32" x14ac:dyDescent="0.3">
      <c r="A50" t="s">
        <v>11</v>
      </c>
      <c r="B50" s="74" t="s">
        <v>34</v>
      </c>
      <c r="C50" t="s">
        <v>51</v>
      </c>
      <c r="D50" s="75">
        <f t="shared" si="1"/>
        <v>0.57331528370969742</v>
      </c>
      <c r="E50">
        <v>115.3</v>
      </c>
      <c r="F50">
        <v>114.6</v>
      </c>
      <c r="G50">
        <v>112.8</v>
      </c>
      <c r="H50">
        <v>112.6</v>
      </c>
      <c r="I50">
        <v>113.1</v>
      </c>
      <c r="J50">
        <v>114.8</v>
      </c>
      <c r="K50">
        <v>115.1</v>
      </c>
      <c r="L50">
        <v>114.5</v>
      </c>
      <c r="M50">
        <v>119.7</v>
      </c>
      <c r="N50">
        <v>119.7</v>
      </c>
      <c r="O50">
        <v>121.9</v>
      </c>
      <c r="P50">
        <v>122.4</v>
      </c>
      <c r="Q50">
        <v>121</v>
      </c>
      <c r="R50">
        <v>120</v>
      </c>
      <c r="S50">
        <v>118.9</v>
      </c>
      <c r="T50">
        <v>118.8</v>
      </c>
      <c r="U50">
        <v>119</v>
      </c>
      <c r="V50">
        <v>119.7</v>
      </c>
      <c r="W50">
        <v>119.9</v>
      </c>
      <c r="X50">
        <v>120</v>
      </c>
      <c r="Y50">
        <v>120.9</v>
      </c>
      <c r="Z50">
        <v>121.6</v>
      </c>
      <c r="AA50">
        <v>121.9</v>
      </c>
      <c r="AB50">
        <v>122.1</v>
      </c>
      <c r="AC50">
        <v>121.8</v>
      </c>
      <c r="AD50">
        <v>121.1</v>
      </c>
      <c r="AE50">
        <v>120</v>
      </c>
      <c r="AF50">
        <v>120</v>
      </c>
    </row>
    <row r="51" spans="1:32" x14ac:dyDescent="0.3">
      <c r="A51" t="s">
        <v>12</v>
      </c>
      <c r="B51" s="74" t="s">
        <v>34</v>
      </c>
      <c r="C51" t="s">
        <v>51</v>
      </c>
      <c r="D51" s="75">
        <f t="shared" si="1"/>
        <v>0.46693302033217432</v>
      </c>
      <c r="E51">
        <v>163</v>
      </c>
      <c r="F51">
        <v>164</v>
      </c>
      <c r="G51">
        <v>164.2</v>
      </c>
      <c r="H51">
        <v>163.5</v>
      </c>
      <c r="I51">
        <v>163.9</v>
      </c>
      <c r="J51">
        <v>168.2</v>
      </c>
      <c r="K51">
        <v>168.5</v>
      </c>
      <c r="L51">
        <v>168.3</v>
      </c>
      <c r="M51">
        <v>168.8</v>
      </c>
      <c r="N51">
        <v>168.8</v>
      </c>
      <c r="O51">
        <v>169.3</v>
      </c>
      <c r="P51">
        <v>169.6</v>
      </c>
      <c r="Q51">
        <v>170.5</v>
      </c>
      <c r="R51">
        <v>172.1</v>
      </c>
      <c r="S51">
        <v>174.3</v>
      </c>
      <c r="T51">
        <v>177.4</v>
      </c>
      <c r="U51">
        <v>181.3</v>
      </c>
      <c r="V51">
        <v>184.9</v>
      </c>
      <c r="W51">
        <v>187.1</v>
      </c>
      <c r="X51">
        <v>190</v>
      </c>
      <c r="Y51">
        <v>193.6</v>
      </c>
      <c r="Z51">
        <v>197.3</v>
      </c>
      <c r="AA51">
        <v>199.9</v>
      </c>
      <c r="AB51">
        <v>202.8</v>
      </c>
      <c r="AC51">
        <v>205.2</v>
      </c>
      <c r="AD51">
        <v>208.4</v>
      </c>
      <c r="AE51">
        <v>209.7</v>
      </c>
      <c r="AF51">
        <v>209.7</v>
      </c>
    </row>
    <row r="52" spans="1:32" x14ac:dyDescent="0.3">
      <c r="A52" t="s">
        <v>13</v>
      </c>
      <c r="B52" s="74" t="s">
        <v>34</v>
      </c>
      <c r="C52" t="s">
        <v>52</v>
      </c>
      <c r="D52" s="75">
        <f t="shared" si="1"/>
        <v>0.69006812063410339</v>
      </c>
      <c r="E52">
        <v>149.19999999999999</v>
      </c>
      <c r="F52">
        <v>151.80000000000001</v>
      </c>
      <c r="G52">
        <v>155.5</v>
      </c>
      <c r="H52">
        <v>156.5</v>
      </c>
      <c r="I52">
        <v>157.6</v>
      </c>
      <c r="J52">
        <v>159.30000000000001</v>
      </c>
      <c r="K52">
        <v>160</v>
      </c>
      <c r="L52">
        <v>160.9</v>
      </c>
      <c r="M52">
        <v>162.69999999999999</v>
      </c>
      <c r="N52">
        <v>162.69999999999999</v>
      </c>
      <c r="O52">
        <v>163.19999999999999</v>
      </c>
      <c r="P52">
        <v>163.69999999999999</v>
      </c>
      <c r="Q52">
        <v>164.2</v>
      </c>
      <c r="R52">
        <v>164.3</v>
      </c>
      <c r="S52">
        <v>164.7</v>
      </c>
      <c r="T52">
        <v>165.3</v>
      </c>
      <c r="U52">
        <v>166.2</v>
      </c>
      <c r="V52">
        <v>167.1</v>
      </c>
      <c r="W52">
        <v>167.9</v>
      </c>
      <c r="X52">
        <v>168.4</v>
      </c>
      <c r="Y52">
        <v>168.8</v>
      </c>
      <c r="Z52">
        <v>169.4</v>
      </c>
      <c r="AA52">
        <v>169.9</v>
      </c>
      <c r="AB52">
        <v>170.4</v>
      </c>
      <c r="AC52">
        <v>171</v>
      </c>
      <c r="AD52">
        <v>171.4</v>
      </c>
      <c r="AE52">
        <v>172.3</v>
      </c>
      <c r="AF52">
        <v>172.3</v>
      </c>
    </row>
    <row r="53" spans="1:32" x14ac:dyDescent="0.3">
      <c r="A53" t="s">
        <v>14</v>
      </c>
      <c r="B53" s="74" t="s">
        <v>34</v>
      </c>
      <c r="C53" t="s">
        <v>51</v>
      </c>
      <c r="D53" s="75">
        <f t="shared" si="1"/>
        <v>0.61390514483714842</v>
      </c>
      <c r="E53">
        <v>164.8</v>
      </c>
      <c r="F53">
        <v>165.6</v>
      </c>
      <c r="G53">
        <v>167.5</v>
      </c>
      <c r="H53">
        <v>168.2</v>
      </c>
      <c r="I53">
        <v>168.9</v>
      </c>
      <c r="J53">
        <v>170.4</v>
      </c>
      <c r="K53">
        <v>172.4</v>
      </c>
      <c r="L53">
        <v>172.2</v>
      </c>
      <c r="M53">
        <v>173.9</v>
      </c>
      <c r="N53">
        <v>173.9</v>
      </c>
      <c r="O53">
        <v>174.7</v>
      </c>
      <c r="P53">
        <v>175.5</v>
      </c>
      <c r="Q53">
        <v>176.5</v>
      </c>
      <c r="R53">
        <v>177.3</v>
      </c>
      <c r="S53">
        <v>178</v>
      </c>
      <c r="T53">
        <v>179.3</v>
      </c>
      <c r="U53">
        <v>180.9</v>
      </c>
      <c r="V53">
        <v>182.5</v>
      </c>
      <c r="W53">
        <v>183.9</v>
      </c>
      <c r="X53">
        <v>185.2</v>
      </c>
      <c r="Y53">
        <v>186.3</v>
      </c>
      <c r="Z53">
        <v>187.4</v>
      </c>
      <c r="AA53">
        <v>188.3</v>
      </c>
      <c r="AB53">
        <v>189.5</v>
      </c>
      <c r="AC53">
        <v>190.3</v>
      </c>
      <c r="AD53">
        <v>191.2</v>
      </c>
      <c r="AE53">
        <v>193</v>
      </c>
      <c r="AF53">
        <v>193</v>
      </c>
    </row>
    <row r="54" spans="1:32" x14ac:dyDescent="0.3">
      <c r="A54" t="s">
        <v>15</v>
      </c>
      <c r="B54" s="74" t="s">
        <v>34</v>
      </c>
      <c r="C54" t="s">
        <v>51</v>
      </c>
      <c r="D54" s="75">
        <f t="shared" si="1"/>
        <v>0.62611760355909529</v>
      </c>
      <c r="E54">
        <v>165.4</v>
      </c>
      <c r="F54">
        <v>161</v>
      </c>
      <c r="G54">
        <v>156.9</v>
      </c>
      <c r="H54">
        <v>156.69999999999999</v>
      </c>
      <c r="I54">
        <v>158</v>
      </c>
      <c r="J54">
        <v>160.69999999999999</v>
      </c>
      <c r="K54">
        <v>162.6</v>
      </c>
      <c r="L54">
        <v>164</v>
      </c>
      <c r="M54">
        <v>164</v>
      </c>
      <c r="N54">
        <v>164</v>
      </c>
      <c r="O54">
        <v>167.7</v>
      </c>
      <c r="P54">
        <v>169.7</v>
      </c>
      <c r="Q54">
        <v>168.2</v>
      </c>
      <c r="R54">
        <v>166.4</v>
      </c>
      <c r="S54">
        <v>166.2</v>
      </c>
      <c r="T54">
        <v>168.4</v>
      </c>
      <c r="U54">
        <v>170.8</v>
      </c>
      <c r="V54">
        <v>173.3</v>
      </c>
      <c r="W54">
        <v>174.9</v>
      </c>
      <c r="X54">
        <v>175</v>
      </c>
      <c r="Y54">
        <v>176.3</v>
      </c>
      <c r="Z54">
        <v>177.8</v>
      </c>
      <c r="AA54">
        <v>179.6</v>
      </c>
      <c r="AB54">
        <v>178.3</v>
      </c>
      <c r="AC54">
        <v>175.9</v>
      </c>
      <c r="AD54">
        <v>176.7</v>
      </c>
      <c r="AE54">
        <v>177</v>
      </c>
      <c r="AF54">
        <v>177</v>
      </c>
    </row>
    <row r="55" spans="1:32" x14ac:dyDescent="0.3">
      <c r="A55" t="s">
        <v>16</v>
      </c>
      <c r="B55" s="74" t="s">
        <v>34</v>
      </c>
      <c r="C55" t="s">
        <v>52</v>
      </c>
      <c r="D55" s="75">
        <f t="shared" si="1"/>
        <v>0.58049367771424432</v>
      </c>
      <c r="E55">
        <v>185.4</v>
      </c>
      <c r="F55">
        <v>186.5</v>
      </c>
      <c r="G55">
        <v>188.3</v>
      </c>
      <c r="H55">
        <v>188.1</v>
      </c>
      <c r="I55">
        <v>188.8</v>
      </c>
      <c r="J55">
        <v>191.9</v>
      </c>
      <c r="K55">
        <v>190.8</v>
      </c>
      <c r="L55">
        <v>191.2</v>
      </c>
      <c r="M55">
        <v>192.1</v>
      </c>
      <c r="N55">
        <v>192.1</v>
      </c>
      <c r="O55">
        <v>192.7</v>
      </c>
      <c r="P55">
        <v>192.9</v>
      </c>
      <c r="Q55">
        <v>192.4</v>
      </c>
      <c r="R55">
        <v>192.2</v>
      </c>
      <c r="S55">
        <v>192.8</v>
      </c>
      <c r="T55">
        <v>193.7</v>
      </c>
      <c r="U55">
        <v>193.9</v>
      </c>
      <c r="V55">
        <v>194.1</v>
      </c>
      <c r="W55">
        <v>194.3</v>
      </c>
      <c r="X55">
        <v>194.6</v>
      </c>
      <c r="Y55">
        <v>195</v>
      </c>
      <c r="Z55">
        <v>195.9</v>
      </c>
      <c r="AA55">
        <v>196.3</v>
      </c>
      <c r="AB55">
        <v>196.9</v>
      </c>
      <c r="AC55">
        <v>197.3</v>
      </c>
      <c r="AD55">
        <v>198.2</v>
      </c>
      <c r="AE55">
        <v>199.5</v>
      </c>
      <c r="AF55">
        <v>199.5</v>
      </c>
    </row>
    <row r="56" spans="1:32" x14ac:dyDescent="0.3">
      <c r="A56" t="s">
        <v>17</v>
      </c>
      <c r="B56" s="74" t="s">
        <v>34</v>
      </c>
      <c r="C56" t="s">
        <v>53</v>
      </c>
      <c r="D56" s="75">
        <f t="shared" si="1"/>
        <v>0.63999596542419068</v>
      </c>
      <c r="E56">
        <v>155</v>
      </c>
      <c r="F56">
        <v>155.5</v>
      </c>
      <c r="G56">
        <v>157.19999999999999</v>
      </c>
      <c r="H56">
        <v>157.80000000000001</v>
      </c>
      <c r="I56">
        <v>158.80000000000001</v>
      </c>
      <c r="J56">
        <v>161.80000000000001</v>
      </c>
      <c r="K56">
        <v>162.19999999999999</v>
      </c>
      <c r="L56">
        <v>162.80000000000001</v>
      </c>
      <c r="M56">
        <v>164.5</v>
      </c>
      <c r="N56">
        <v>164.6</v>
      </c>
      <c r="O56">
        <v>165.7</v>
      </c>
      <c r="P56">
        <v>167.2</v>
      </c>
      <c r="Q56">
        <v>168.5</v>
      </c>
      <c r="R56">
        <v>169.9</v>
      </c>
      <c r="S56">
        <v>170.8</v>
      </c>
      <c r="T56">
        <v>172.1</v>
      </c>
      <c r="U56">
        <v>173.9</v>
      </c>
      <c r="V56">
        <v>175.6</v>
      </c>
      <c r="W56">
        <v>177.1</v>
      </c>
      <c r="X56">
        <v>178.3</v>
      </c>
      <c r="Y56">
        <v>179.5</v>
      </c>
      <c r="Z56">
        <v>180.9</v>
      </c>
      <c r="AA56">
        <v>181.9</v>
      </c>
      <c r="AB56">
        <v>183.1</v>
      </c>
      <c r="AC56">
        <v>184</v>
      </c>
      <c r="AD56">
        <v>184.9</v>
      </c>
      <c r="AE56">
        <v>186.2</v>
      </c>
      <c r="AF56">
        <v>186.1</v>
      </c>
    </row>
    <row r="57" spans="1:32" x14ac:dyDescent="0.3">
      <c r="A57" t="s">
        <v>18</v>
      </c>
      <c r="B57" s="74" t="s">
        <v>34</v>
      </c>
      <c r="C57" t="s">
        <v>53</v>
      </c>
      <c r="D57" s="75">
        <f t="shared" si="1"/>
        <v>0.65743031343341085</v>
      </c>
      <c r="E57">
        <v>145.4</v>
      </c>
      <c r="F57">
        <v>146.1</v>
      </c>
      <c r="G57">
        <v>147.4</v>
      </c>
      <c r="H57">
        <v>147.9</v>
      </c>
      <c r="I57">
        <v>148.5</v>
      </c>
      <c r="J57">
        <v>152.1</v>
      </c>
      <c r="K57">
        <v>151.80000000000001</v>
      </c>
      <c r="L57">
        <v>153.1</v>
      </c>
      <c r="M57">
        <v>155.30000000000001</v>
      </c>
      <c r="N57">
        <v>155.30000000000001</v>
      </c>
      <c r="O57">
        <v>156.30000000000001</v>
      </c>
      <c r="P57">
        <v>157.4</v>
      </c>
      <c r="Q57">
        <v>158.69999999999999</v>
      </c>
      <c r="R57">
        <v>160.69999999999999</v>
      </c>
      <c r="S57">
        <v>162.4</v>
      </c>
      <c r="T57">
        <v>164.6</v>
      </c>
      <c r="U57">
        <v>166.5</v>
      </c>
      <c r="V57">
        <v>168.4</v>
      </c>
      <c r="W57">
        <v>169.9</v>
      </c>
      <c r="X57">
        <v>171.3</v>
      </c>
      <c r="Y57">
        <v>172.7</v>
      </c>
      <c r="Z57">
        <v>174.3</v>
      </c>
      <c r="AA57">
        <v>175.3</v>
      </c>
      <c r="AB57">
        <v>176.2</v>
      </c>
      <c r="AC57">
        <v>177</v>
      </c>
      <c r="AD57">
        <v>177.6</v>
      </c>
      <c r="AE57">
        <v>178.7</v>
      </c>
      <c r="AF57">
        <v>178.7</v>
      </c>
    </row>
    <row r="58" spans="1:32" x14ac:dyDescent="0.3">
      <c r="A58" t="s">
        <v>19</v>
      </c>
      <c r="B58" s="74" t="s">
        <v>34</v>
      </c>
      <c r="C58" t="s">
        <v>53</v>
      </c>
      <c r="D58" s="75">
        <f t="shared" si="1"/>
        <v>0.64290501356080942</v>
      </c>
      <c r="E58">
        <v>153.6</v>
      </c>
      <c r="F58">
        <v>154.19999999999999</v>
      </c>
      <c r="G58">
        <v>155.80000000000001</v>
      </c>
      <c r="H58">
        <v>156.4</v>
      </c>
      <c r="I58">
        <v>157.30000000000001</v>
      </c>
      <c r="J58">
        <v>160.4</v>
      </c>
      <c r="K58">
        <v>160.69999999999999</v>
      </c>
      <c r="L58">
        <v>161.4</v>
      </c>
      <c r="M58">
        <v>163.19999999999999</v>
      </c>
      <c r="N58">
        <v>163.30000000000001</v>
      </c>
      <c r="O58">
        <v>164.3</v>
      </c>
      <c r="P58">
        <v>165.8</v>
      </c>
      <c r="Q58">
        <v>167</v>
      </c>
      <c r="R58">
        <v>168.5</v>
      </c>
      <c r="S58">
        <v>169.6</v>
      </c>
      <c r="T58">
        <v>171.1</v>
      </c>
      <c r="U58">
        <v>172.8</v>
      </c>
      <c r="V58">
        <v>174.6</v>
      </c>
      <c r="W58">
        <v>176</v>
      </c>
      <c r="X58">
        <v>177.3</v>
      </c>
      <c r="Y58">
        <v>178.5</v>
      </c>
      <c r="Z58">
        <v>179.9</v>
      </c>
      <c r="AA58">
        <v>181</v>
      </c>
      <c r="AB58">
        <v>182.1</v>
      </c>
      <c r="AC58">
        <v>183</v>
      </c>
      <c r="AD58">
        <v>183.8</v>
      </c>
      <c r="AE58">
        <v>185.1</v>
      </c>
      <c r="AF58">
        <v>185.1</v>
      </c>
    </row>
    <row r="59" spans="1:32" x14ac:dyDescent="0.3">
      <c r="A59" t="s">
        <v>20</v>
      </c>
      <c r="B59" s="74" t="s">
        <v>34</v>
      </c>
      <c r="C59" t="s">
        <v>20</v>
      </c>
      <c r="D59" s="75">
        <f t="shared" si="1"/>
        <v>0.58062590091830779</v>
      </c>
      <c r="E59">
        <v>158.4</v>
      </c>
      <c r="F59">
        <v>157.69999999999999</v>
      </c>
      <c r="G59">
        <v>159.80000000000001</v>
      </c>
      <c r="H59">
        <v>159.9</v>
      </c>
      <c r="I59">
        <v>161.4</v>
      </c>
      <c r="J59">
        <v>161.6</v>
      </c>
      <c r="K59">
        <v>160.5</v>
      </c>
      <c r="L59">
        <v>161.5</v>
      </c>
      <c r="M59">
        <v>162.1</v>
      </c>
      <c r="N59">
        <v>162.1</v>
      </c>
      <c r="O59">
        <v>163.6</v>
      </c>
      <c r="P59">
        <v>164.2</v>
      </c>
      <c r="Q59">
        <v>163.4</v>
      </c>
      <c r="R59">
        <v>164.5</v>
      </c>
      <c r="S59">
        <v>165.5</v>
      </c>
      <c r="T59">
        <v>165.3</v>
      </c>
      <c r="U59">
        <v>167</v>
      </c>
      <c r="V59">
        <v>167.5</v>
      </c>
      <c r="W59">
        <v>166.8</v>
      </c>
      <c r="X59">
        <v>167.8</v>
      </c>
      <c r="Y59">
        <v>169</v>
      </c>
      <c r="Z59">
        <v>169.5</v>
      </c>
      <c r="AA59">
        <v>171.2</v>
      </c>
      <c r="AB59">
        <v>171.8</v>
      </c>
      <c r="AC59">
        <v>170.7</v>
      </c>
      <c r="AD59">
        <v>172.1</v>
      </c>
      <c r="AE59">
        <v>173.5</v>
      </c>
      <c r="AF59">
        <v>173.5</v>
      </c>
    </row>
    <row r="60" spans="1:32" x14ac:dyDescent="0.3">
      <c r="A60" t="s">
        <v>21</v>
      </c>
      <c r="B60" s="74" t="s">
        <v>34</v>
      </c>
      <c r="C60" t="s">
        <v>21</v>
      </c>
      <c r="D60" s="75">
        <f t="shared" si="1"/>
        <v>0.68314218184816067</v>
      </c>
      <c r="E60">
        <v>144.6</v>
      </c>
      <c r="F60">
        <v>147.9</v>
      </c>
      <c r="G60">
        <v>152.4</v>
      </c>
      <c r="H60">
        <v>155.5</v>
      </c>
      <c r="I60">
        <v>155.6</v>
      </c>
      <c r="J60">
        <v>159.4</v>
      </c>
      <c r="K60">
        <v>159.80000000000001</v>
      </c>
      <c r="L60">
        <v>160.69999999999999</v>
      </c>
      <c r="M60">
        <v>162.6</v>
      </c>
      <c r="N60">
        <v>162.6</v>
      </c>
      <c r="O60">
        <v>164.2</v>
      </c>
      <c r="P60">
        <v>163.9</v>
      </c>
      <c r="Q60">
        <v>164.1</v>
      </c>
      <c r="R60">
        <v>164.2</v>
      </c>
      <c r="S60">
        <v>165.7</v>
      </c>
      <c r="T60">
        <v>167.2</v>
      </c>
      <c r="U60">
        <v>172.2</v>
      </c>
      <c r="V60">
        <v>174.6</v>
      </c>
      <c r="W60">
        <v>176</v>
      </c>
      <c r="X60">
        <v>179.6</v>
      </c>
      <c r="Y60">
        <v>178.8</v>
      </c>
      <c r="Z60">
        <v>179.5</v>
      </c>
      <c r="AA60">
        <v>180.5</v>
      </c>
      <c r="AB60">
        <v>181.3</v>
      </c>
      <c r="AC60">
        <v>182</v>
      </c>
      <c r="AD60">
        <v>182</v>
      </c>
      <c r="AE60">
        <v>182.1</v>
      </c>
      <c r="AF60">
        <v>181.9</v>
      </c>
    </row>
    <row r="61" spans="1:32" x14ac:dyDescent="0.3">
      <c r="A61" t="s">
        <v>22</v>
      </c>
      <c r="B61" s="74" t="s">
        <v>34</v>
      </c>
      <c r="C61" t="s">
        <v>20</v>
      </c>
      <c r="D61" s="75">
        <f t="shared" si="1"/>
        <v>0.62840567323289465</v>
      </c>
      <c r="E61">
        <v>149.69999999999999</v>
      </c>
      <c r="F61">
        <v>150</v>
      </c>
      <c r="G61">
        <v>150.9</v>
      </c>
      <c r="H61">
        <v>151.19999999999999</v>
      </c>
      <c r="I61">
        <v>151.80000000000001</v>
      </c>
      <c r="J61">
        <v>154.69999999999999</v>
      </c>
      <c r="K61">
        <v>154.80000000000001</v>
      </c>
      <c r="L61">
        <v>155.80000000000001</v>
      </c>
      <c r="M61">
        <v>157.5</v>
      </c>
      <c r="N61">
        <v>157.5</v>
      </c>
      <c r="O61">
        <v>158.4</v>
      </c>
      <c r="P61">
        <v>159.30000000000001</v>
      </c>
      <c r="Q61">
        <v>160.19999999999999</v>
      </c>
      <c r="R61">
        <v>161.1</v>
      </c>
      <c r="S61">
        <v>161.80000000000001</v>
      </c>
      <c r="T61">
        <v>162.80000000000001</v>
      </c>
      <c r="U61">
        <v>164</v>
      </c>
      <c r="V61">
        <v>165.2</v>
      </c>
      <c r="W61">
        <v>166.4</v>
      </c>
      <c r="X61">
        <v>167.4</v>
      </c>
      <c r="Y61">
        <v>168.5</v>
      </c>
      <c r="Z61">
        <v>169.5</v>
      </c>
      <c r="AA61">
        <v>170.4</v>
      </c>
      <c r="AB61">
        <v>171.4</v>
      </c>
      <c r="AC61">
        <v>172.1</v>
      </c>
      <c r="AD61">
        <v>172.9</v>
      </c>
      <c r="AE61">
        <v>174.2</v>
      </c>
      <c r="AF61">
        <v>174.2</v>
      </c>
    </row>
    <row r="62" spans="1:32" x14ac:dyDescent="0.3">
      <c r="A62" t="s">
        <v>23</v>
      </c>
      <c r="B62" s="74" t="s">
        <v>34</v>
      </c>
      <c r="C62" t="s">
        <v>23</v>
      </c>
      <c r="D62" s="75">
        <f t="shared" si="1"/>
        <v>0.62234139728974081</v>
      </c>
      <c r="E62">
        <v>158.30000000000001</v>
      </c>
      <c r="F62">
        <v>159.30000000000001</v>
      </c>
      <c r="G62">
        <v>161.30000000000001</v>
      </c>
      <c r="H62">
        <v>161.69999999999999</v>
      </c>
      <c r="I62">
        <v>162.30000000000001</v>
      </c>
      <c r="J62">
        <v>165.8</v>
      </c>
      <c r="K62">
        <v>166.3</v>
      </c>
      <c r="L62">
        <v>167</v>
      </c>
      <c r="M62">
        <v>168.4</v>
      </c>
      <c r="N62">
        <v>168.4</v>
      </c>
      <c r="O62">
        <v>169.1</v>
      </c>
      <c r="P62">
        <v>169.9</v>
      </c>
      <c r="Q62">
        <v>170.6</v>
      </c>
      <c r="R62">
        <v>171.4</v>
      </c>
      <c r="S62">
        <v>172.2</v>
      </c>
      <c r="T62">
        <v>173</v>
      </c>
      <c r="U62">
        <v>174</v>
      </c>
      <c r="V62">
        <v>174.8</v>
      </c>
      <c r="W62">
        <v>175.4</v>
      </c>
      <c r="X62">
        <v>176.1</v>
      </c>
      <c r="Y62">
        <v>176.8</v>
      </c>
      <c r="Z62">
        <v>177.8</v>
      </c>
      <c r="AA62">
        <v>178.7</v>
      </c>
      <c r="AB62">
        <v>179.8</v>
      </c>
      <c r="AC62">
        <v>181.1</v>
      </c>
      <c r="AD62">
        <v>182.3</v>
      </c>
      <c r="AE62">
        <v>184.4</v>
      </c>
      <c r="AF62">
        <v>184.4</v>
      </c>
    </row>
    <row r="63" spans="1:32" x14ac:dyDescent="0.3">
      <c r="A63" t="s">
        <v>24</v>
      </c>
      <c r="B63" s="74" t="s">
        <v>34</v>
      </c>
      <c r="C63" t="s">
        <v>54</v>
      </c>
      <c r="D63" s="75">
        <f t="shared" si="1"/>
        <v>0.76576171271104887</v>
      </c>
      <c r="E63">
        <v>140.69999999999999</v>
      </c>
      <c r="F63">
        <v>141.9</v>
      </c>
      <c r="G63">
        <v>145.1</v>
      </c>
      <c r="H63">
        <v>146.19999999999999</v>
      </c>
      <c r="I63">
        <v>146.6</v>
      </c>
      <c r="J63">
        <v>148.9</v>
      </c>
      <c r="K63">
        <v>150.69999999999999</v>
      </c>
      <c r="L63">
        <v>153.1</v>
      </c>
      <c r="M63">
        <v>154</v>
      </c>
      <c r="N63">
        <v>154</v>
      </c>
      <c r="O63">
        <v>155.69999999999999</v>
      </c>
      <c r="P63">
        <v>154.80000000000001</v>
      </c>
      <c r="Q63">
        <v>155.69999999999999</v>
      </c>
      <c r="R63">
        <v>156.5</v>
      </c>
      <c r="S63">
        <v>156.9</v>
      </c>
      <c r="T63">
        <v>157.9</v>
      </c>
      <c r="U63">
        <v>162.6</v>
      </c>
      <c r="V63">
        <v>163</v>
      </c>
      <c r="W63">
        <v>161.1</v>
      </c>
      <c r="X63">
        <v>161.6</v>
      </c>
      <c r="Y63">
        <v>161.9</v>
      </c>
      <c r="Z63">
        <v>162.30000000000001</v>
      </c>
      <c r="AA63">
        <v>162.9</v>
      </c>
      <c r="AB63">
        <v>163</v>
      </c>
      <c r="AC63">
        <v>163.4</v>
      </c>
      <c r="AD63">
        <v>163.6</v>
      </c>
      <c r="AE63">
        <v>164.2</v>
      </c>
      <c r="AF63">
        <v>164.2</v>
      </c>
    </row>
    <row r="64" spans="1:32" x14ac:dyDescent="0.3">
      <c r="A64" t="s">
        <v>25</v>
      </c>
      <c r="B64" s="74" t="s">
        <v>34</v>
      </c>
      <c r="C64" t="s">
        <v>25</v>
      </c>
      <c r="D64" s="75">
        <f t="shared" si="1"/>
        <v>0.70780060439817616</v>
      </c>
      <c r="E64">
        <v>148.5</v>
      </c>
      <c r="F64">
        <v>149.6</v>
      </c>
      <c r="G64">
        <v>151.5</v>
      </c>
      <c r="H64">
        <v>152.6</v>
      </c>
      <c r="I64">
        <v>153.19999999999999</v>
      </c>
      <c r="J64">
        <v>155.80000000000001</v>
      </c>
      <c r="K64">
        <v>154.9</v>
      </c>
      <c r="L64">
        <v>155.30000000000001</v>
      </c>
      <c r="M64">
        <v>157.6</v>
      </c>
      <c r="N64">
        <v>157.69999999999999</v>
      </c>
      <c r="O64">
        <v>158.6</v>
      </c>
      <c r="P64">
        <v>159.80000000000001</v>
      </c>
      <c r="Q64">
        <v>160.6</v>
      </c>
      <c r="R64">
        <v>161.19999999999999</v>
      </c>
      <c r="S64">
        <v>162.1</v>
      </c>
      <c r="T64">
        <v>163.30000000000001</v>
      </c>
      <c r="U64">
        <v>164.4</v>
      </c>
      <c r="V64">
        <v>165.1</v>
      </c>
      <c r="W64">
        <v>165.8</v>
      </c>
      <c r="X64">
        <v>166.3</v>
      </c>
      <c r="Y64">
        <v>166.9</v>
      </c>
      <c r="Z64">
        <v>167.6</v>
      </c>
      <c r="AA64">
        <v>168.2</v>
      </c>
      <c r="AB64">
        <v>168.5</v>
      </c>
      <c r="AC64">
        <v>168.9</v>
      </c>
      <c r="AD64">
        <v>169.5</v>
      </c>
      <c r="AE64">
        <v>170.3</v>
      </c>
      <c r="AF64">
        <v>170.3</v>
      </c>
    </row>
    <row r="65" spans="1:32" x14ac:dyDescent="0.3">
      <c r="A65" t="s">
        <v>26</v>
      </c>
      <c r="B65" s="74" t="s">
        <v>34</v>
      </c>
      <c r="C65" t="s">
        <v>26</v>
      </c>
      <c r="D65" s="75">
        <f t="shared" si="1"/>
        <v>0.56530282829272271</v>
      </c>
      <c r="E65">
        <v>159.4</v>
      </c>
      <c r="F65">
        <v>159.19999999999999</v>
      </c>
      <c r="G65">
        <v>159.5</v>
      </c>
      <c r="H65">
        <v>160.19999999999999</v>
      </c>
      <c r="I65">
        <v>160.30000000000001</v>
      </c>
      <c r="J65">
        <v>161.19999999999999</v>
      </c>
      <c r="K65">
        <v>161.69999999999999</v>
      </c>
      <c r="L65">
        <v>163.19999999999999</v>
      </c>
      <c r="M65">
        <v>163.80000000000001</v>
      </c>
      <c r="N65">
        <v>163.69999999999999</v>
      </c>
      <c r="O65">
        <v>163.9</v>
      </c>
      <c r="P65">
        <v>164.3</v>
      </c>
      <c r="Q65">
        <v>164.4</v>
      </c>
      <c r="R65">
        <v>164.7</v>
      </c>
      <c r="S65">
        <v>165.4</v>
      </c>
      <c r="T65">
        <v>166</v>
      </c>
      <c r="U65">
        <v>166.9</v>
      </c>
      <c r="V65">
        <v>167.9</v>
      </c>
      <c r="W65">
        <v>169</v>
      </c>
      <c r="X65">
        <v>171.4</v>
      </c>
      <c r="Y65">
        <v>172.3</v>
      </c>
      <c r="Z65">
        <v>173.1</v>
      </c>
      <c r="AA65">
        <v>173.4</v>
      </c>
      <c r="AB65">
        <v>173.7</v>
      </c>
      <c r="AC65">
        <v>174.1</v>
      </c>
      <c r="AD65">
        <v>174.3</v>
      </c>
      <c r="AE65">
        <v>175</v>
      </c>
      <c r="AF65">
        <v>175</v>
      </c>
    </row>
    <row r="66" spans="1:32" x14ac:dyDescent="0.3">
      <c r="A66" t="s">
        <v>27</v>
      </c>
      <c r="B66" s="74" t="s">
        <v>34</v>
      </c>
      <c r="C66" t="s">
        <v>27</v>
      </c>
      <c r="D66" s="75">
        <f t="shared" si="1"/>
        <v>0.54573216251432155</v>
      </c>
      <c r="E66">
        <v>157.1</v>
      </c>
      <c r="F66">
        <v>156.80000000000001</v>
      </c>
      <c r="G66">
        <v>155.80000000000001</v>
      </c>
      <c r="H66">
        <v>153.80000000000001</v>
      </c>
      <c r="I66">
        <v>155.4</v>
      </c>
      <c r="J66">
        <v>158.6</v>
      </c>
      <c r="K66">
        <v>158.80000000000001</v>
      </c>
      <c r="L66">
        <v>160.1</v>
      </c>
      <c r="M66">
        <v>160</v>
      </c>
      <c r="N66">
        <v>160</v>
      </c>
      <c r="O66">
        <v>160.80000000000001</v>
      </c>
      <c r="P66">
        <v>162.19999999999999</v>
      </c>
      <c r="Q66">
        <v>162.6</v>
      </c>
      <c r="R66">
        <v>163</v>
      </c>
      <c r="S66">
        <v>164.4</v>
      </c>
      <c r="T66">
        <v>167.2</v>
      </c>
      <c r="U66">
        <v>168.8</v>
      </c>
      <c r="V66">
        <v>168.4</v>
      </c>
      <c r="W66">
        <v>169.4</v>
      </c>
      <c r="X66">
        <v>169.7</v>
      </c>
      <c r="Y66">
        <v>171.2</v>
      </c>
      <c r="Z66">
        <v>170.9</v>
      </c>
      <c r="AA66">
        <v>172.1</v>
      </c>
      <c r="AB66">
        <v>173.6</v>
      </c>
      <c r="AC66">
        <v>175.8</v>
      </c>
      <c r="AD66">
        <v>178.6</v>
      </c>
      <c r="AE66">
        <v>181</v>
      </c>
      <c r="AF66">
        <v>181</v>
      </c>
    </row>
    <row r="67" spans="1:32" x14ac:dyDescent="0.3">
      <c r="A67" t="s">
        <v>28</v>
      </c>
      <c r="B67" s="74" t="s">
        <v>34</v>
      </c>
      <c r="C67" t="s">
        <v>58</v>
      </c>
      <c r="D67" s="75">
        <f t="shared" si="1"/>
        <v>0.66711382865951885</v>
      </c>
      <c r="E67">
        <v>151.19999999999999</v>
      </c>
      <c r="F67">
        <v>151.9</v>
      </c>
      <c r="G67">
        <v>153.4</v>
      </c>
      <c r="H67">
        <v>153.80000000000001</v>
      </c>
      <c r="I67">
        <v>154.4</v>
      </c>
      <c r="J67">
        <v>156.80000000000001</v>
      </c>
      <c r="K67">
        <v>157.6</v>
      </c>
      <c r="L67">
        <v>159</v>
      </c>
      <c r="M67">
        <v>160</v>
      </c>
      <c r="N67">
        <v>160</v>
      </c>
      <c r="O67">
        <v>161</v>
      </c>
      <c r="P67">
        <v>161.4</v>
      </c>
      <c r="Q67">
        <v>162</v>
      </c>
      <c r="R67">
        <v>162.69999999999999</v>
      </c>
      <c r="S67">
        <v>163.5</v>
      </c>
      <c r="T67">
        <v>164.6</v>
      </c>
      <c r="U67">
        <v>166.8</v>
      </c>
      <c r="V67">
        <v>167.5</v>
      </c>
      <c r="W67">
        <v>167.5</v>
      </c>
      <c r="X67">
        <v>168.4</v>
      </c>
      <c r="Y67">
        <v>169.1</v>
      </c>
      <c r="Z67">
        <v>169.7</v>
      </c>
      <c r="AA67">
        <v>170.5</v>
      </c>
      <c r="AB67">
        <v>171.1</v>
      </c>
      <c r="AC67">
        <v>172</v>
      </c>
      <c r="AD67">
        <v>172.8</v>
      </c>
      <c r="AE67">
        <v>174.1</v>
      </c>
      <c r="AF67">
        <v>174.1</v>
      </c>
    </row>
    <row r="68" spans="1:32" x14ac:dyDescent="0.3">
      <c r="A68" t="s">
        <v>29</v>
      </c>
      <c r="B68" s="74" t="s">
        <v>34</v>
      </c>
      <c r="C68" t="s">
        <v>55</v>
      </c>
      <c r="D68" s="75">
        <f t="shared" si="1"/>
        <v>0.65481753095456197</v>
      </c>
      <c r="E68">
        <v>158.9</v>
      </c>
      <c r="F68">
        <v>157.30000000000001</v>
      </c>
      <c r="G68">
        <v>156.6</v>
      </c>
      <c r="H68">
        <v>156.80000000000001</v>
      </c>
      <c r="I68">
        <v>157.80000000000001</v>
      </c>
      <c r="J68">
        <v>160.4</v>
      </c>
      <c r="K68">
        <v>161.30000000000001</v>
      </c>
      <c r="L68">
        <v>162.5</v>
      </c>
      <c r="M68">
        <v>163.19999999999999</v>
      </c>
      <c r="N68">
        <v>163.19999999999999</v>
      </c>
      <c r="O68">
        <v>165.5</v>
      </c>
      <c r="P68">
        <v>166.7</v>
      </c>
      <c r="Q68">
        <v>166.2</v>
      </c>
      <c r="R68">
        <v>165.7</v>
      </c>
      <c r="S68">
        <v>166.1</v>
      </c>
      <c r="T68">
        <v>167.7</v>
      </c>
      <c r="U68">
        <v>170.1</v>
      </c>
      <c r="V68">
        <v>171.7</v>
      </c>
      <c r="W68">
        <v>172.6</v>
      </c>
      <c r="X68">
        <v>173.4</v>
      </c>
      <c r="Y68">
        <v>174.3</v>
      </c>
      <c r="Z68">
        <v>175.3</v>
      </c>
      <c r="AA68">
        <v>176.7</v>
      </c>
      <c r="AB68">
        <v>176.5</v>
      </c>
      <c r="AC68">
        <v>175.7</v>
      </c>
      <c r="AD68">
        <v>176.5</v>
      </c>
      <c r="AE68">
        <v>177.2</v>
      </c>
      <c r="AF68">
        <v>177.2</v>
      </c>
    </row>
    <row r="73" spans="1:32" x14ac:dyDescent="0.3">
      <c r="A73" t="s">
        <v>49</v>
      </c>
      <c r="B73" t="s">
        <v>0</v>
      </c>
      <c r="C73" t="s">
        <v>189</v>
      </c>
      <c r="D73" s="75" t="s">
        <v>190</v>
      </c>
      <c r="E73" t="s">
        <v>111</v>
      </c>
      <c r="F73" t="s">
        <v>112</v>
      </c>
      <c r="G73" t="s">
        <v>113</v>
      </c>
      <c r="H73" t="s">
        <v>114</v>
      </c>
      <c r="I73" t="s">
        <v>115</v>
      </c>
      <c r="J73" t="s">
        <v>116</v>
      </c>
      <c r="K73" t="s">
        <v>117</v>
      </c>
      <c r="L73" t="s">
        <v>118</v>
      </c>
      <c r="M73" t="s">
        <v>119</v>
      </c>
      <c r="N73" t="s">
        <v>120</v>
      </c>
      <c r="O73" t="s">
        <v>121</v>
      </c>
      <c r="P73" t="s">
        <v>122</v>
      </c>
      <c r="Q73" t="s">
        <v>123</v>
      </c>
      <c r="R73" t="s">
        <v>124</v>
      </c>
      <c r="S73" t="s">
        <v>125</v>
      </c>
      <c r="T73" t="s">
        <v>126</v>
      </c>
      <c r="U73" t="s">
        <v>127</v>
      </c>
      <c r="V73" t="s">
        <v>128</v>
      </c>
      <c r="W73" t="s">
        <v>129</v>
      </c>
      <c r="X73" t="s">
        <v>130</v>
      </c>
      <c r="Y73" t="s">
        <v>131</v>
      </c>
      <c r="Z73" t="s">
        <v>132</v>
      </c>
      <c r="AA73" t="s">
        <v>133</v>
      </c>
      <c r="AB73" t="s">
        <v>134</v>
      </c>
      <c r="AC73" t="s">
        <v>135</v>
      </c>
      <c r="AD73" t="s">
        <v>136</v>
      </c>
      <c r="AE73" t="s">
        <v>137</v>
      </c>
      <c r="AF73" t="s">
        <v>138</v>
      </c>
    </row>
    <row r="74" spans="1:32" x14ac:dyDescent="0.3">
      <c r="A74" t="s">
        <v>3</v>
      </c>
      <c r="B74" s="74" t="s">
        <v>33</v>
      </c>
      <c r="C74" t="s">
        <v>51</v>
      </c>
      <c r="D74" s="75">
        <f t="shared" ref="D74:D100" si="2">CORREL($E$3:$AF$3,E74:AF74)</f>
        <v>0.36599495618539468</v>
      </c>
      <c r="E74">
        <v>149</v>
      </c>
      <c r="F74">
        <v>148</v>
      </c>
      <c r="G74">
        <v>147.6</v>
      </c>
      <c r="H74">
        <v>147.5</v>
      </c>
      <c r="I74">
        <v>147.6</v>
      </c>
      <c r="J74">
        <v>148.80000000000001</v>
      </c>
      <c r="K74">
        <v>149.19999999999999</v>
      </c>
      <c r="L74">
        <v>149.1</v>
      </c>
      <c r="M74">
        <v>149.30000000000001</v>
      </c>
      <c r="N74">
        <v>149.30000000000001</v>
      </c>
      <c r="O74">
        <v>150.1</v>
      </c>
      <c r="P74">
        <v>151</v>
      </c>
      <c r="Q74">
        <v>151.6</v>
      </c>
      <c r="R74">
        <v>152.19999999999999</v>
      </c>
      <c r="S74">
        <v>152.5</v>
      </c>
      <c r="T74">
        <v>153.69999999999999</v>
      </c>
      <c r="U74">
        <v>155.4</v>
      </c>
      <c r="V74">
        <v>156.69999999999999</v>
      </c>
      <c r="W74">
        <v>157.5</v>
      </c>
      <c r="X74">
        <v>159.30000000000001</v>
      </c>
      <c r="Y74">
        <v>162.1</v>
      </c>
      <c r="Z74">
        <v>164.9</v>
      </c>
      <c r="AA74">
        <v>166.4</v>
      </c>
      <c r="AB74">
        <v>168.4</v>
      </c>
      <c r="AC74">
        <v>170.2</v>
      </c>
      <c r="AD74">
        <v>173.3</v>
      </c>
      <c r="AE74">
        <v>174.7</v>
      </c>
      <c r="AF74">
        <v>174.7</v>
      </c>
    </row>
    <row r="75" spans="1:32" x14ac:dyDescent="0.3">
      <c r="A75" t="s">
        <v>4</v>
      </c>
      <c r="B75" s="74" t="s">
        <v>33</v>
      </c>
      <c r="C75" t="s">
        <v>51</v>
      </c>
      <c r="D75" s="75">
        <f t="shared" si="2"/>
        <v>0.84330774093722249</v>
      </c>
      <c r="E75">
        <v>195.7</v>
      </c>
      <c r="F75">
        <v>194.8</v>
      </c>
      <c r="G75">
        <v>191.2</v>
      </c>
      <c r="H75">
        <v>197.5</v>
      </c>
      <c r="I75">
        <v>202.5</v>
      </c>
      <c r="J75">
        <v>204.3</v>
      </c>
      <c r="K75">
        <v>205.5</v>
      </c>
      <c r="L75">
        <v>210.9</v>
      </c>
      <c r="M75">
        <v>207.4</v>
      </c>
      <c r="N75">
        <v>207.4</v>
      </c>
      <c r="O75">
        <v>208.4</v>
      </c>
      <c r="P75">
        <v>204.9</v>
      </c>
      <c r="Q75">
        <v>202.2</v>
      </c>
      <c r="R75">
        <v>202.1</v>
      </c>
      <c r="S75">
        <v>205.2</v>
      </c>
      <c r="T75">
        <v>215.8</v>
      </c>
      <c r="U75">
        <v>215.8</v>
      </c>
      <c r="V75">
        <v>221.2</v>
      </c>
      <c r="W75">
        <v>223.4</v>
      </c>
      <c r="X75">
        <v>217.1</v>
      </c>
      <c r="Y75">
        <v>210.9</v>
      </c>
      <c r="Z75">
        <v>213.7</v>
      </c>
      <c r="AA75">
        <v>214.9</v>
      </c>
      <c r="AB75">
        <v>213.4</v>
      </c>
      <c r="AC75">
        <v>212.9</v>
      </c>
      <c r="AD75">
        <v>215.2</v>
      </c>
      <c r="AE75">
        <v>212.2</v>
      </c>
      <c r="AF75">
        <v>212.2</v>
      </c>
    </row>
    <row r="76" spans="1:32" x14ac:dyDescent="0.3">
      <c r="A76" t="s">
        <v>5</v>
      </c>
      <c r="B76" s="74" t="s">
        <v>33</v>
      </c>
      <c r="C76" t="s">
        <v>51</v>
      </c>
      <c r="D76" s="75">
        <f t="shared" si="2"/>
        <v>-0.23519088860405676</v>
      </c>
      <c r="E76">
        <v>178.3</v>
      </c>
      <c r="F76">
        <v>178.4</v>
      </c>
      <c r="G76">
        <v>169.9</v>
      </c>
      <c r="H76">
        <v>164.7</v>
      </c>
      <c r="I76">
        <v>166.4</v>
      </c>
      <c r="J76">
        <v>173</v>
      </c>
      <c r="K76">
        <v>182.8</v>
      </c>
      <c r="L76">
        <v>185</v>
      </c>
      <c r="M76">
        <v>174.1</v>
      </c>
      <c r="N76">
        <v>174.1</v>
      </c>
      <c r="O76">
        <v>173</v>
      </c>
      <c r="P76">
        <v>175.4</v>
      </c>
      <c r="Q76">
        <v>180</v>
      </c>
      <c r="R76">
        <v>180.1</v>
      </c>
      <c r="S76">
        <v>176.4</v>
      </c>
      <c r="T76">
        <v>167.7</v>
      </c>
      <c r="U76">
        <v>164.6</v>
      </c>
      <c r="V76">
        <v>164.1</v>
      </c>
      <c r="W76">
        <v>172.8</v>
      </c>
      <c r="X76">
        <v>176.6</v>
      </c>
      <c r="Y76">
        <v>170.6</v>
      </c>
      <c r="Z76">
        <v>170.9</v>
      </c>
      <c r="AA76">
        <v>171.9</v>
      </c>
      <c r="AB76">
        <v>183.2</v>
      </c>
      <c r="AC76">
        <v>191.9</v>
      </c>
      <c r="AD76">
        <v>197</v>
      </c>
      <c r="AE76">
        <v>177.2</v>
      </c>
      <c r="AF76">
        <v>177.2</v>
      </c>
    </row>
    <row r="77" spans="1:32" x14ac:dyDescent="0.3">
      <c r="A77" t="s">
        <v>6</v>
      </c>
      <c r="B77" s="74" t="s">
        <v>33</v>
      </c>
      <c r="C77" t="s">
        <v>51</v>
      </c>
      <c r="D77" s="75">
        <f t="shared" si="2"/>
        <v>0.48804737960574901</v>
      </c>
      <c r="E77">
        <v>154.19999999999999</v>
      </c>
      <c r="F77">
        <v>154.4</v>
      </c>
      <c r="G77">
        <v>155.1</v>
      </c>
      <c r="H77">
        <v>155.6</v>
      </c>
      <c r="I77">
        <v>156</v>
      </c>
      <c r="J77">
        <v>156.5</v>
      </c>
      <c r="K77">
        <v>156.5</v>
      </c>
      <c r="L77">
        <v>158.19999999999999</v>
      </c>
      <c r="M77">
        <v>159.19999999999999</v>
      </c>
      <c r="N77">
        <v>159.1</v>
      </c>
      <c r="O77">
        <v>159.19999999999999</v>
      </c>
      <c r="P77">
        <v>159.6</v>
      </c>
      <c r="Q77">
        <v>160</v>
      </c>
      <c r="R77">
        <v>160.4</v>
      </c>
      <c r="S77">
        <v>160.6</v>
      </c>
      <c r="T77">
        <v>162.6</v>
      </c>
      <c r="U77">
        <v>164.2</v>
      </c>
      <c r="V77">
        <v>165.4</v>
      </c>
      <c r="W77">
        <v>166.4</v>
      </c>
      <c r="X77">
        <v>167.1</v>
      </c>
      <c r="Y77">
        <v>168.4</v>
      </c>
      <c r="Z77">
        <v>170.1</v>
      </c>
      <c r="AA77">
        <v>171</v>
      </c>
      <c r="AB77">
        <v>172.3</v>
      </c>
      <c r="AC77">
        <v>173.9</v>
      </c>
      <c r="AD77">
        <v>175.2</v>
      </c>
      <c r="AE77">
        <v>177.9</v>
      </c>
      <c r="AF77">
        <v>177.9</v>
      </c>
    </row>
    <row r="78" spans="1:32" x14ac:dyDescent="0.3">
      <c r="A78" t="s">
        <v>7</v>
      </c>
      <c r="B78" s="74" t="s">
        <v>33</v>
      </c>
      <c r="C78" t="s">
        <v>51</v>
      </c>
      <c r="D78" s="75">
        <f t="shared" si="2"/>
        <v>0.85325827127484377</v>
      </c>
      <c r="E78">
        <v>140.69999999999999</v>
      </c>
      <c r="F78">
        <v>144.1</v>
      </c>
      <c r="G78">
        <v>151.4</v>
      </c>
      <c r="H78">
        <v>156.4</v>
      </c>
      <c r="I78">
        <v>161.4</v>
      </c>
      <c r="J78">
        <v>168.8</v>
      </c>
      <c r="K78">
        <v>172.2</v>
      </c>
      <c r="L78">
        <v>170.6</v>
      </c>
      <c r="M78">
        <v>175</v>
      </c>
      <c r="N78">
        <v>175</v>
      </c>
      <c r="O78">
        <v>176.6</v>
      </c>
      <c r="P78">
        <v>175.8</v>
      </c>
      <c r="Q78">
        <v>173.5</v>
      </c>
      <c r="R78">
        <v>171</v>
      </c>
      <c r="S78">
        <v>171.5</v>
      </c>
      <c r="T78">
        <v>180</v>
      </c>
      <c r="U78">
        <v>186</v>
      </c>
      <c r="V78">
        <v>189.5</v>
      </c>
      <c r="W78">
        <v>188.6</v>
      </c>
      <c r="X78">
        <v>184.8</v>
      </c>
      <c r="Y78">
        <v>182.5</v>
      </c>
      <c r="Z78">
        <v>179.3</v>
      </c>
      <c r="AA78">
        <v>177.7</v>
      </c>
      <c r="AB78">
        <v>180</v>
      </c>
      <c r="AC78">
        <v>179.1</v>
      </c>
      <c r="AD78">
        <v>178</v>
      </c>
      <c r="AE78">
        <v>172.2</v>
      </c>
      <c r="AF78">
        <v>172.2</v>
      </c>
    </row>
    <row r="79" spans="1:32" x14ac:dyDescent="0.3">
      <c r="A79" t="s">
        <v>8</v>
      </c>
      <c r="B79" s="74" t="s">
        <v>33</v>
      </c>
      <c r="C79" t="s">
        <v>51</v>
      </c>
      <c r="D79" s="75">
        <f t="shared" si="2"/>
        <v>0.54491401923217209</v>
      </c>
      <c r="E79">
        <v>149.69999999999999</v>
      </c>
      <c r="F79">
        <v>152.6</v>
      </c>
      <c r="G79">
        <v>154</v>
      </c>
      <c r="H79">
        <v>157.30000000000001</v>
      </c>
      <c r="I79">
        <v>168.8</v>
      </c>
      <c r="J79">
        <v>172.5</v>
      </c>
      <c r="K79">
        <v>171.5</v>
      </c>
      <c r="L79">
        <v>170.9</v>
      </c>
      <c r="M79">
        <v>161.30000000000001</v>
      </c>
      <c r="N79">
        <v>161.19999999999999</v>
      </c>
      <c r="O79">
        <v>159.30000000000001</v>
      </c>
      <c r="P79">
        <v>160.30000000000001</v>
      </c>
      <c r="Q79">
        <v>158.30000000000001</v>
      </c>
      <c r="R79">
        <v>156.5</v>
      </c>
      <c r="S79">
        <v>156.4</v>
      </c>
      <c r="T79">
        <v>159.6</v>
      </c>
      <c r="U79">
        <v>175.9</v>
      </c>
      <c r="V79">
        <v>174.5</v>
      </c>
      <c r="W79">
        <v>174.1</v>
      </c>
      <c r="X79">
        <v>179.5</v>
      </c>
      <c r="Y79">
        <v>177.1</v>
      </c>
      <c r="Z79">
        <v>167.5</v>
      </c>
      <c r="AA79">
        <v>165.7</v>
      </c>
      <c r="AB79">
        <v>162.6</v>
      </c>
      <c r="AC79">
        <v>159.5</v>
      </c>
      <c r="AD79">
        <v>160.5</v>
      </c>
      <c r="AE79">
        <v>172.1</v>
      </c>
      <c r="AF79">
        <v>172.1</v>
      </c>
    </row>
    <row r="80" spans="1:32" x14ac:dyDescent="0.3">
      <c r="A80" t="s">
        <v>9</v>
      </c>
      <c r="B80" s="74" t="s">
        <v>33</v>
      </c>
      <c r="C80" t="s">
        <v>51</v>
      </c>
      <c r="D80" s="75">
        <f t="shared" si="2"/>
        <v>0.22199555529250886</v>
      </c>
      <c r="E80">
        <v>240.9</v>
      </c>
      <c r="F80">
        <v>206.8</v>
      </c>
      <c r="G80">
        <v>180.2</v>
      </c>
      <c r="H80">
        <v>166.1</v>
      </c>
      <c r="I80">
        <v>161.6</v>
      </c>
      <c r="J80">
        <v>166.5</v>
      </c>
      <c r="K80">
        <v>176.2</v>
      </c>
      <c r="L80">
        <v>186.4</v>
      </c>
      <c r="M80">
        <v>183.3</v>
      </c>
      <c r="N80">
        <v>183.5</v>
      </c>
      <c r="O80">
        <v>214.4</v>
      </c>
      <c r="P80">
        <v>229.1</v>
      </c>
      <c r="Q80">
        <v>219.5</v>
      </c>
      <c r="R80">
        <v>203.6</v>
      </c>
      <c r="S80">
        <v>198</v>
      </c>
      <c r="T80">
        <v>188.4</v>
      </c>
      <c r="U80">
        <v>190.7</v>
      </c>
      <c r="V80">
        <v>203.2</v>
      </c>
      <c r="W80">
        <v>211.5</v>
      </c>
      <c r="X80">
        <v>208.5</v>
      </c>
      <c r="Y80">
        <v>213.1</v>
      </c>
      <c r="Z80">
        <v>220.8</v>
      </c>
      <c r="AA80">
        <v>228.6</v>
      </c>
      <c r="AB80">
        <v>205.5</v>
      </c>
      <c r="AC80">
        <v>178.7</v>
      </c>
      <c r="AD80">
        <v>175.3</v>
      </c>
      <c r="AE80">
        <v>175.8</v>
      </c>
      <c r="AF80">
        <v>175.9</v>
      </c>
    </row>
    <row r="81" spans="1:32" x14ac:dyDescent="0.3">
      <c r="A81" t="s">
        <v>10</v>
      </c>
      <c r="B81" s="74" t="s">
        <v>33</v>
      </c>
      <c r="C81" t="s">
        <v>51</v>
      </c>
      <c r="D81" s="75">
        <f t="shared" si="2"/>
        <v>0.18291924602534482</v>
      </c>
      <c r="E81">
        <v>161.5</v>
      </c>
      <c r="F81">
        <v>162.1</v>
      </c>
      <c r="G81">
        <v>159.80000000000001</v>
      </c>
      <c r="H81">
        <v>161.1</v>
      </c>
      <c r="I81">
        <v>162.80000000000001</v>
      </c>
      <c r="J81">
        <v>165.9</v>
      </c>
      <c r="K81">
        <v>166.9</v>
      </c>
      <c r="L81">
        <v>164.7</v>
      </c>
      <c r="M81">
        <v>164.5</v>
      </c>
      <c r="N81">
        <v>164.5</v>
      </c>
      <c r="O81">
        <v>165.3</v>
      </c>
      <c r="P81">
        <v>165.1</v>
      </c>
      <c r="Q81">
        <v>164.2</v>
      </c>
      <c r="R81">
        <v>163.80000000000001</v>
      </c>
      <c r="S81">
        <v>163.19999999999999</v>
      </c>
      <c r="T81">
        <v>163.4</v>
      </c>
      <c r="U81">
        <v>164</v>
      </c>
      <c r="V81">
        <v>164.1</v>
      </c>
      <c r="W81">
        <v>163.6</v>
      </c>
      <c r="X81">
        <v>164</v>
      </c>
      <c r="Y81">
        <v>167.3</v>
      </c>
      <c r="Z81">
        <v>169.2</v>
      </c>
      <c r="AA81">
        <v>169.9</v>
      </c>
      <c r="AB81">
        <v>171</v>
      </c>
      <c r="AC81">
        <v>171.3</v>
      </c>
      <c r="AD81">
        <v>171.2</v>
      </c>
      <c r="AE81">
        <v>172.2</v>
      </c>
      <c r="AF81">
        <v>172.2</v>
      </c>
    </row>
    <row r="82" spans="1:32" x14ac:dyDescent="0.3">
      <c r="A82" t="s">
        <v>11</v>
      </c>
      <c r="B82" s="74" t="s">
        <v>33</v>
      </c>
      <c r="C82" t="s">
        <v>51</v>
      </c>
      <c r="D82" s="75">
        <f t="shared" si="2"/>
        <v>0.59659705450519795</v>
      </c>
      <c r="E82">
        <v>117.1</v>
      </c>
      <c r="F82">
        <v>116.3</v>
      </c>
      <c r="G82">
        <v>114.9</v>
      </c>
      <c r="H82">
        <v>114.3</v>
      </c>
      <c r="I82">
        <v>114.8</v>
      </c>
      <c r="J82">
        <v>115.9</v>
      </c>
      <c r="K82">
        <v>116.1</v>
      </c>
      <c r="L82">
        <v>115.7</v>
      </c>
      <c r="M82">
        <v>120.4</v>
      </c>
      <c r="N82">
        <v>120.4</v>
      </c>
      <c r="O82">
        <v>122.5</v>
      </c>
      <c r="P82">
        <v>123.1</v>
      </c>
      <c r="Q82">
        <v>121.9</v>
      </c>
      <c r="R82">
        <v>121.3</v>
      </c>
      <c r="S82">
        <v>120.6</v>
      </c>
      <c r="T82">
        <v>120.3</v>
      </c>
      <c r="U82">
        <v>120.5</v>
      </c>
      <c r="V82">
        <v>121.2</v>
      </c>
      <c r="W82">
        <v>121.4</v>
      </c>
      <c r="X82">
        <v>121.5</v>
      </c>
      <c r="Y82">
        <v>122.2</v>
      </c>
      <c r="Z82">
        <v>123.1</v>
      </c>
      <c r="AA82">
        <v>123.4</v>
      </c>
      <c r="AB82">
        <v>123.4</v>
      </c>
      <c r="AC82">
        <v>123.1</v>
      </c>
      <c r="AD82">
        <v>122.7</v>
      </c>
      <c r="AE82">
        <v>121.9</v>
      </c>
      <c r="AF82">
        <v>121.9</v>
      </c>
    </row>
    <row r="83" spans="1:32" x14ac:dyDescent="0.3">
      <c r="A83" t="s">
        <v>12</v>
      </c>
      <c r="B83" s="74" t="s">
        <v>33</v>
      </c>
      <c r="C83" t="s">
        <v>51</v>
      </c>
      <c r="D83" s="75">
        <f t="shared" si="2"/>
        <v>0.45829348646500984</v>
      </c>
      <c r="E83">
        <v>161.9</v>
      </c>
      <c r="F83">
        <v>163</v>
      </c>
      <c r="G83">
        <v>162.5</v>
      </c>
      <c r="H83">
        <v>162.6</v>
      </c>
      <c r="I83">
        <v>162.80000000000001</v>
      </c>
      <c r="J83">
        <v>165.2</v>
      </c>
      <c r="K83">
        <v>165.5</v>
      </c>
      <c r="L83">
        <v>165.5</v>
      </c>
      <c r="M83">
        <v>166.2</v>
      </c>
      <c r="N83">
        <v>166.2</v>
      </c>
      <c r="O83">
        <v>166.8</v>
      </c>
      <c r="P83">
        <v>167.2</v>
      </c>
      <c r="Q83">
        <v>168.2</v>
      </c>
      <c r="R83">
        <v>169.8</v>
      </c>
      <c r="S83">
        <v>172.2</v>
      </c>
      <c r="T83">
        <v>174.7</v>
      </c>
      <c r="U83">
        <v>178</v>
      </c>
      <c r="V83">
        <v>181.4</v>
      </c>
      <c r="W83">
        <v>183.5</v>
      </c>
      <c r="X83">
        <v>186.3</v>
      </c>
      <c r="Y83">
        <v>189.7</v>
      </c>
      <c r="Z83">
        <v>193.6</v>
      </c>
      <c r="AA83">
        <v>196.4</v>
      </c>
      <c r="AB83">
        <v>198.8</v>
      </c>
      <c r="AC83">
        <v>200.5</v>
      </c>
      <c r="AD83">
        <v>204.3</v>
      </c>
      <c r="AE83">
        <v>204.8</v>
      </c>
      <c r="AF83">
        <v>204.8</v>
      </c>
    </row>
    <row r="84" spans="1:32" x14ac:dyDescent="0.3">
      <c r="A84" t="s">
        <v>13</v>
      </c>
      <c r="B84" s="74" t="s">
        <v>33</v>
      </c>
      <c r="C84" t="s">
        <v>52</v>
      </c>
      <c r="D84" s="75">
        <f t="shared" si="2"/>
        <v>0.63631162486377402</v>
      </c>
      <c r="E84">
        <v>143.30000000000001</v>
      </c>
      <c r="F84">
        <v>145.9</v>
      </c>
      <c r="G84">
        <v>149.19999999999999</v>
      </c>
      <c r="H84">
        <v>150.69999999999999</v>
      </c>
      <c r="I84">
        <v>151.5</v>
      </c>
      <c r="J84">
        <v>152</v>
      </c>
      <c r="K84">
        <v>152.30000000000001</v>
      </c>
      <c r="L84">
        <v>153.4</v>
      </c>
      <c r="M84">
        <v>154.80000000000001</v>
      </c>
      <c r="N84">
        <v>154.80000000000001</v>
      </c>
      <c r="O84">
        <v>155.4</v>
      </c>
      <c r="P84">
        <v>156.1</v>
      </c>
      <c r="Q84">
        <v>156.5</v>
      </c>
      <c r="R84">
        <v>156.6</v>
      </c>
      <c r="S84">
        <v>156.69999999999999</v>
      </c>
      <c r="T84">
        <v>157.1</v>
      </c>
      <c r="U84">
        <v>157.5</v>
      </c>
      <c r="V84">
        <v>158.5</v>
      </c>
      <c r="W84">
        <v>159.1</v>
      </c>
      <c r="X84">
        <v>159.80000000000001</v>
      </c>
      <c r="Y84">
        <v>160.5</v>
      </c>
      <c r="Z84">
        <v>161.1</v>
      </c>
      <c r="AA84">
        <v>161.6</v>
      </c>
      <c r="AB84">
        <v>162.1</v>
      </c>
      <c r="AC84">
        <v>162.80000000000001</v>
      </c>
      <c r="AD84">
        <v>163.69999999999999</v>
      </c>
      <c r="AE84">
        <v>164.9</v>
      </c>
      <c r="AF84">
        <v>164.9</v>
      </c>
    </row>
    <row r="85" spans="1:32" x14ac:dyDescent="0.3">
      <c r="A85" t="s">
        <v>14</v>
      </c>
      <c r="B85" s="74" t="s">
        <v>33</v>
      </c>
      <c r="C85" t="s">
        <v>51</v>
      </c>
      <c r="D85" s="75">
        <f t="shared" si="2"/>
        <v>0.60457236950804727</v>
      </c>
      <c r="E85">
        <v>166.1</v>
      </c>
      <c r="F85">
        <v>167.2</v>
      </c>
      <c r="G85">
        <v>169.4</v>
      </c>
      <c r="H85">
        <v>170.3</v>
      </c>
      <c r="I85">
        <v>171.4</v>
      </c>
      <c r="J85">
        <v>171.1</v>
      </c>
      <c r="K85">
        <v>173.3</v>
      </c>
      <c r="L85">
        <v>173.5</v>
      </c>
      <c r="M85">
        <v>175.1</v>
      </c>
      <c r="N85">
        <v>175.1</v>
      </c>
      <c r="O85">
        <v>175.9</v>
      </c>
      <c r="P85">
        <v>176.8</v>
      </c>
      <c r="Q85">
        <v>178.2</v>
      </c>
      <c r="R85">
        <v>179</v>
      </c>
      <c r="S85">
        <v>180</v>
      </c>
      <c r="T85">
        <v>181.5</v>
      </c>
      <c r="U85">
        <v>183.3</v>
      </c>
      <c r="V85">
        <v>184.9</v>
      </c>
      <c r="W85">
        <v>186.3</v>
      </c>
      <c r="X85">
        <v>187.7</v>
      </c>
      <c r="Y85">
        <v>188.9</v>
      </c>
      <c r="Z85">
        <v>190.4</v>
      </c>
      <c r="AA85">
        <v>191.5</v>
      </c>
      <c r="AB85">
        <v>192.4</v>
      </c>
      <c r="AC85">
        <v>193.3</v>
      </c>
      <c r="AD85">
        <v>194.3</v>
      </c>
      <c r="AE85">
        <v>196.6</v>
      </c>
      <c r="AF85">
        <v>196.6</v>
      </c>
    </row>
    <row r="86" spans="1:32" x14ac:dyDescent="0.3">
      <c r="A86" t="s">
        <v>15</v>
      </c>
      <c r="B86" s="74" t="s">
        <v>33</v>
      </c>
      <c r="C86" t="s">
        <v>51</v>
      </c>
      <c r="D86" s="75">
        <f t="shared" si="2"/>
        <v>0.66292465080795948</v>
      </c>
      <c r="E86">
        <v>167</v>
      </c>
      <c r="F86">
        <v>163.4</v>
      </c>
      <c r="G86">
        <v>160.80000000000001</v>
      </c>
      <c r="H86">
        <v>160.4</v>
      </c>
      <c r="I86">
        <v>162</v>
      </c>
      <c r="J86">
        <v>164.2</v>
      </c>
      <c r="K86">
        <v>166.2</v>
      </c>
      <c r="L86">
        <v>167.9</v>
      </c>
      <c r="M86">
        <v>167.3</v>
      </c>
      <c r="N86">
        <v>167.3</v>
      </c>
      <c r="O86">
        <v>171.5</v>
      </c>
      <c r="P86">
        <v>173.5</v>
      </c>
      <c r="Q86">
        <v>172.2</v>
      </c>
      <c r="R86">
        <v>170.3</v>
      </c>
      <c r="S86">
        <v>170.2</v>
      </c>
      <c r="T86">
        <v>171.5</v>
      </c>
      <c r="U86">
        <v>174.5</v>
      </c>
      <c r="V86">
        <v>177.5</v>
      </c>
      <c r="W86">
        <v>179.3</v>
      </c>
      <c r="X86">
        <v>179.4</v>
      </c>
      <c r="Y86">
        <v>180.4</v>
      </c>
      <c r="Z86">
        <v>181.8</v>
      </c>
      <c r="AA86">
        <v>183.3</v>
      </c>
      <c r="AB86">
        <v>181.3</v>
      </c>
      <c r="AC86">
        <v>178.6</v>
      </c>
      <c r="AD86">
        <v>179.5</v>
      </c>
      <c r="AE86">
        <v>180.7</v>
      </c>
      <c r="AF86">
        <v>180.8</v>
      </c>
    </row>
    <row r="87" spans="1:32" x14ac:dyDescent="0.3">
      <c r="A87" t="s">
        <v>16</v>
      </c>
      <c r="B87" s="74" t="s">
        <v>33</v>
      </c>
      <c r="C87" t="s">
        <v>52</v>
      </c>
      <c r="D87" s="75">
        <f t="shared" si="2"/>
        <v>0.51664527918801773</v>
      </c>
      <c r="E87">
        <v>190.2</v>
      </c>
      <c r="F87">
        <v>191.8</v>
      </c>
      <c r="G87">
        <v>193.3</v>
      </c>
      <c r="H87">
        <v>193.5</v>
      </c>
      <c r="I87">
        <v>194.4</v>
      </c>
      <c r="J87">
        <v>198.2</v>
      </c>
      <c r="K87">
        <v>195.6</v>
      </c>
      <c r="L87">
        <v>195.5</v>
      </c>
      <c r="M87">
        <v>196.5</v>
      </c>
      <c r="N87">
        <v>196.5</v>
      </c>
      <c r="O87">
        <v>197</v>
      </c>
      <c r="P87">
        <v>197</v>
      </c>
      <c r="Q87">
        <v>196.8</v>
      </c>
      <c r="R87">
        <v>196.4</v>
      </c>
      <c r="S87">
        <v>196.5</v>
      </c>
      <c r="T87">
        <v>197.5</v>
      </c>
      <c r="U87">
        <v>197.1</v>
      </c>
      <c r="V87">
        <v>197.5</v>
      </c>
      <c r="W87">
        <v>198.3</v>
      </c>
      <c r="X87">
        <v>198.6</v>
      </c>
      <c r="Y87">
        <v>198.7</v>
      </c>
      <c r="Z87">
        <v>199.7</v>
      </c>
      <c r="AA87">
        <v>200.1</v>
      </c>
      <c r="AB87">
        <v>200.6</v>
      </c>
      <c r="AC87">
        <v>201.1</v>
      </c>
      <c r="AD87">
        <v>201.6</v>
      </c>
      <c r="AE87">
        <v>202.7</v>
      </c>
      <c r="AF87">
        <v>202.7</v>
      </c>
    </row>
    <row r="88" spans="1:32" x14ac:dyDescent="0.3">
      <c r="A88" t="s">
        <v>17</v>
      </c>
      <c r="B88" s="74" t="s">
        <v>33</v>
      </c>
      <c r="C88" t="s">
        <v>53</v>
      </c>
      <c r="D88" s="75">
        <f t="shared" si="2"/>
        <v>0.6304794492369209</v>
      </c>
      <c r="E88">
        <v>151.9</v>
      </c>
      <c r="F88">
        <v>152.5</v>
      </c>
      <c r="G88">
        <v>154.19999999999999</v>
      </c>
      <c r="H88">
        <v>155.1</v>
      </c>
      <c r="I88">
        <v>155.9</v>
      </c>
      <c r="J88">
        <v>156.5</v>
      </c>
      <c r="K88">
        <v>157.30000000000001</v>
      </c>
      <c r="L88">
        <v>157.9</v>
      </c>
      <c r="M88">
        <v>159.80000000000001</v>
      </c>
      <c r="N88">
        <v>159.80000000000001</v>
      </c>
      <c r="O88">
        <v>160.80000000000001</v>
      </c>
      <c r="P88">
        <v>162.30000000000001</v>
      </c>
      <c r="Q88">
        <v>163.30000000000001</v>
      </c>
      <c r="R88">
        <v>164.7</v>
      </c>
      <c r="S88">
        <v>165.7</v>
      </c>
      <c r="T88">
        <v>167.1</v>
      </c>
      <c r="U88">
        <v>168.4</v>
      </c>
      <c r="V88">
        <v>170</v>
      </c>
      <c r="W88">
        <v>171.6</v>
      </c>
      <c r="X88">
        <v>172.7</v>
      </c>
      <c r="Y88">
        <v>173.7</v>
      </c>
      <c r="Z88">
        <v>175</v>
      </c>
      <c r="AA88">
        <v>175.5</v>
      </c>
      <c r="AB88">
        <v>176.7</v>
      </c>
      <c r="AC88">
        <v>177.7</v>
      </c>
      <c r="AD88">
        <v>178.7</v>
      </c>
      <c r="AE88">
        <v>180.3</v>
      </c>
      <c r="AF88">
        <v>180.2</v>
      </c>
    </row>
    <row r="89" spans="1:32" x14ac:dyDescent="0.3">
      <c r="A89" t="s">
        <v>18</v>
      </c>
      <c r="B89" s="74" t="s">
        <v>33</v>
      </c>
      <c r="C89" t="s">
        <v>53</v>
      </c>
      <c r="D89" s="75">
        <f t="shared" si="2"/>
        <v>0.62512775402214515</v>
      </c>
      <c r="E89">
        <v>136.69999999999999</v>
      </c>
      <c r="F89">
        <v>137.30000000000001</v>
      </c>
      <c r="G89">
        <v>138.19999999999999</v>
      </c>
      <c r="H89">
        <v>138.69999999999999</v>
      </c>
      <c r="I89">
        <v>139.30000000000001</v>
      </c>
      <c r="J89">
        <v>140.19999999999999</v>
      </c>
      <c r="K89">
        <v>140.5</v>
      </c>
      <c r="L89">
        <v>141.9</v>
      </c>
      <c r="M89">
        <v>143.6</v>
      </c>
      <c r="N89">
        <v>143.6</v>
      </c>
      <c r="O89">
        <v>144.4</v>
      </c>
      <c r="P89">
        <v>145.30000000000001</v>
      </c>
      <c r="Q89">
        <v>146.69999999999999</v>
      </c>
      <c r="R89">
        <v>148.5</v>
      </c>
      <c r="S89">
        <v>150.4</v>
      </c>
      <c r="T89">
        <v>152.6</v>
      </c>
      <c r="U89">
        <v>154.5</v>
      </c>
      <c r="V89">
        <v>155.9</v>
      </c>
      <c r="W89">
        <v>157.4</v>
      </c>
      <c r="X89">
        <v>158.69999999999999</v>
      </c>
      <c r="Y89">
        <v>160</v>
      </c>
      <c r="Z89">
        <v>161.69999999999999</v>
      </c>
      <c r="AA89">
        <v>162.6</v>
      </c>
      <c r="AB89">
        <v>163.5</v>
      </c>
      <c r="AC89">
        <v>164.5</v>
      </c>
      <c r="AD89">
        <v>165.3</v>
      </c>
      <c r="AE89">
        <v>167</v>
      </c>
      <c r="AF89">
        <v>167</v>
      </c>
    </row>
    <row r="90" spans="1:32" x14ac:dyDescent="0.3">
      <c r="A90" t="s">
        <v>19</v>
      </c>
      <c r="B90" s="74" t="s">
        <v>33</v>
      </c>
      <c r="C90" t="s">
        <v>53</v>
      </c>
      <c r="D90" s="75">
        <f t="shared" si="2"/>
        <v>0.62974588943675336</v>
      </c>
      <c r="E90">
        <v>149.6</v>
      </c>
      <c r="F90">
        <v>150.19999999999999</v>
      </c>
      <c r="G90">
        <v>151.80000000000001</v>
      </c>
      <c r="H90">
        <v>152.6</v>
      </c>
      <c r="I90">
        <v>153.4</v>
      </c>
      <c r="J90">
        <v>154.1</v>
      </c>
      <c r="K90">
        <v>154.80000000000001</v>
      </c>
      <c r="L90">
        <v>155.5</v>
      </c>
      <c r="M90">
        <v>157.30000000000001</v>
      </c>
      <c r="N90">
        <v>157.4</v>
      </c>
      <c r="O90">
        <v>158.30000000000001</v>
      </c>
      <c r="P90">
        <v>159.69999999999999</v>
      </c>
      <c r="Q90">
        <v>160.69999999999999</v>
      </c>
      <c r="R90">
        <v>162.19999999999999</v>
      </c>
      <c r="S90">
        <v>163.4</v>
      </c>
      <c r="T90">
        <v>164.9</v>
      </c>
      <c r="U90">
        <v>166.3</v>
      </c>
      <c r="V90">
        <v>167.8</v>
      </c>
      <c r="W90">
        <v>169.4</v>
      </c>
      <c r="X90">
        <v>170.6</v>
      </c>
      <c r="Y90">
        <v>171.6</v>
      </c>
      <c r="Z90">
        <v>173</v>
      </c>
      <c r="AA90">
        <v>173.6</v>
      </c>
      <c r="AB90">
        <v>174.7</v>
      </c>
      <c r="AC90">
        <v>175.7</v>
      </c>
      <c r="AD90">
        <v>176.6</v>
      </c>
      <c r="AE90">
        <v>178.2</v>
      </c>
      <c r="AF90">
        <v>178.2</v>
      </c>
    </row>
    <row r="91" spans="1:32" x14ac:dyDescent="0.3">
      <c r="A91" t="s">
        <v>20</v>
      </c>
      <c r="B91" s="74" t="s">
        <v>33</v>
      </c>
      <c r="C91" t="s">
        <v>20</v>
      </c>
      <c r="D91" s="75">
        <f t="shared" si="2"/>
        <v>0.58062590091830779</v>
      </c>
      <c r="E91">
        <v>158.4</v>
      </c>
      <c r="F91">
        <v>157.69999999999999</v>
      </c>
      <c r="G91">
        <v>159.80000000000001</v>
      </c>
      <c r="H91">
        <v>159.9</v>
      </c>
      <c r="I91">
        <v>161.4</v>
      </c>
      <c r="J91">
        <v>161.6</v>
      </c>
      <c r="K91">
        <v>160.5</v>
      </c>
      <c r="L91">
        <v>161.5</v>
      </c>
      <c r="M91">
        <v>162.1</v>
      </c>
      <c r="N91">
        <v>162.1</v>
      </c>
      <c r="O91">
        <v>163.6</v>
      </c>
      <c r="P91">
        <v>164.2</v>
      </c>
      <c r="Q91">
        <v>163.4</v>
      </c>
      <c r="R91">
        <v>164.5</v>
      </c>
      <c r="S91">
        <v>165.5</v>
      </c>
      <c r="T91">
        <v>165.3</v>
      </c>
      <c r="U91">
        <v>167</v>
      </c>
      <c r="V91">
        <v>167.5</v>
      </c>
      <c r="W91">
        <v>166.8</v>
      </c>
      <c r="X91">
        <v>167.8</v>
      </c>
      <c r="Y91">
        <v>169</v>
      </c>
      <c r="Z91">
        <v>169.5</v>
      </c>
      <c r="AA91">
        <v>171.2</v>
      </c>
      <c r="AB91">
        <v>171.8</v>
      </c>
      <c r="AC91">
        <v>170.7</v>
      </c>
      <c r="AD91">
        <v>172.1</v>
      </c>
      <c r="AE91">
        <v>173.5</v>
      </c>
      <c r="AF91">
        <v>173.5</v>
      </c>
    </row>
    <row r="92" spans="1:32" x14ac:dyDescent="0.3">
      <c r="A92" t="s">
        <v>21</v>
      </c>
      <c r="B92" s="74" t="s">
        <v>33</v>
      </c>
      <c r="C92" t="s">
        <v>21</v>
      </c>
      <c r="D92" s="75">
        <f t="shared" si="2"/>
        <v>0.67776210527972391</v>
      </c>
      <c r="E92">
        <v>137.9</v>
      </c>
      <c r="F92">
        <v>142.9</v>
      </c>
      <c r="G92">
        <v>149.1</v>
      </c>
      <c r="H92">
        <v>154.80000000000001</v>
      </c>
      <c r="I92">
        <v>154.9</v>
      </c>
      <c r="J92">
        <v>155.5</v>
      </c>
      <c r="K92">
        <v>156.1</v>
      </c>
      <c r="L92">
        <v>157.69999999999999</v>
      </c>
      <c r="M92">
        <v>160.69999999999999</v>
      </c>
      <c r="N92">
        <v>160.80000000000001</v>
      </c>
      <c r="O92">
        <v>162.19999999999999</v>
      </c>
      <c r="P92">
        <v>161.6</v>
      </c>
      <c r="Q92">
        <v>161.69999999999999</v>
      </c>
      <c r="R92">
        <v>161.6</v>
      </c>
      <c r="S92">
        <v>163</v>
      </c>
      <c r="T92">
        <v>164.5</v>
      </c>
      <c r="U92">
        <v>170.5</v>
      </c>
      <c r="V92">
        <v>173.5</v>
      </c>
      <c r="W92">
        <v>174.9</v>
      </c>
      <c r="X92">
        <v>179.5</v>
      </c>
      <c r="Y92">
        <v>178.4</v>
      </c>
      <c r="Z92">
        <v>179.2</v>
      </c>
      <c r="AA92">
        <v>180</v>
      </c>
      <c r="AB92">
        <v>180.3</v>
      </c>
      <c r="AC92">
        <v>180.6</v>
      </c>
      <c r="AD92">
        <v>180.1</v>
      </c>
      <c r="AE92">
        <v>182.8</v>
      </c>
      <c r="AF92">
        <v>182.6</v>
      </c>
    </row>
    <row r="93" spans="1:32" x14ac:dyDescent="0.3">
      <c r="A93" t="s">
        <v>22</v>
      </c>
      <c r="B93" s="74" t="s">
        <v>33</v>
      </c>
      <c r="C93" t="s">
        <v>20</v>
      </c>
      <c r="D93" s="75">
        <f t="shared" si="2"/>
        <v>0.64311230420905141</v>
      </c>
      <c r="E93">
        <v>145.5</v>
      </c>
      <c r="F93">
        <v>145.69999999999999</v>
      </c>
      <c r="G93">
        <v>146.5</v>
      </c>
      <c r="H93">
        <v>147.19999999999999</v>
      </c>
      <c r="I93">
        <v>147.6</v>
      </c>
      <c r="J93">
        <v>150.1</v>
      </c>
      <c r="K93">
        <v>149.80000000000001</v>
      </c>
      <c r="L93">
        <v>150.69999999999999</v>
      </c>
      <c r="M93">
        <v>153.19999999999999</v>
      </c>
      <c r="N93">
        <v>153.30000000000001</v>
      </c>
      <c r="O93">
        <v>154.30000000000001</v>
      </c>
      <c r="P93">
        <v>155.19999999999999</v>
      </c>
      <c r="Q93">
        <v>156</v>
      </c>
      <c r="R93">
        <v>156.80000000000001</v>
      </c>
      <c r="S93">
        <v>157.4</v>
      </c>
      <c r="T93">
        <v>158.6</v>
      </c>
      <c r="U93">
        <v>159.80000000000001</v>
      </c>
      <c r="V93">
        <v>161.1</v>
      </c>
      <c r="W93">
        <v>162.1</v>
      </c>
      <c r="X93">
        <v>163.1</v>
      </c>
      <c r="Y93">
        <v>164.2</v>
      </c>
      <c r="Z93">
        <v>165</v>
      </c>
      <c r="AA93">
        <v>166</v>
      </c>
      <c r="AB93">
        <v>166.9</v>
      </c>
      <c r="AC93">
        <v>167.3</v>
      </c>
      <c r="AD93">
        <v>168</v>
      </c>
      <c r="AE93">
        <v>169.2</v>
      </c>
      <c r="AF93">
        <v>169.2</v>
      </c>
    </row>
    <row r="94" spans="1:32" x14ac:dyDescent="0.3">
      <c r="A94" t="s">
        <v>23</v>
      </c>
      <c r="B94" s="74" t="s">
        <v>33</v>
      </c>
      <c r="C94" t="s">
        <v>23</v>
      </c>
      <c r="D94" s="75">
        <f t="shared" si="2"/>
        <v>0.61060353104112297</v>
      </c>
      <c r="E94">
        <v>152.9</v>
      </c>
      <c r="F94">
        <v>154.1</v>
      </c>
      <c r="G94">
        <v>156.30000000000001</v>
      </c>
      <c r="H94">
        <v>156.9</v>
      </c>
      <c r="I94">
        <v>157.5</v>
      </c>
      <c r="J94">
        <v>160.4</v>
      </c>
      <c r="K94">
        <v>160.80000000000001</v>
      </c>
      <c r="L94">
        <v>161.5</v>
      </c>
      <c r="M94">
        <v>162.80000000000001</v>
      </c>
      <c r="N94">
        <v>162.80000000000001</v>
      </c>
      <c r="O94">
        <v>163.5</v>
      </c>
      <c r="P94">
        <v>164.2</v>
      </c>
      <c r="Q94">
        <v>165.1</v>
      </c>
      <c r="R94">
        <v>166.1</v>
      </c>
      <c r="S94">
        <v>167.2</v>
      </c>
      <c r="T94">
        <v>168.2</v>
      </c>
      <c r="U94">
        <v>169</v>
      </c>
      <c r="V94">
        <v>170.1</v>
      </c>
      <c r="W94">
        <v>170.9</v>
      </c>
      <c r="X94">
        <v>171.7</v>
      </c>
      <c r="Y94">
        <v>172.6</v>
      </c>
      <c r="Z94">
        <v>173.8</v>
      </c>
      <c r="AA94">
        <v>174.7</v>
      </c>
      <c r="AB94">
        <v>175.8</v>
      </c>
      <c r="AC94">
        <v>177.2</v>
      </c>
      <c r="AD94">
        <v>178.5</v>
      </c>
      <c r="AE94">
        <v>180.8</v>
      </c>
      <c r="AF94">
        <v>180.8</v>
      </c>
    </row>
    <row r="95" spans="1:32" x14ac:dyDescent="0.3">
      <c r="A95" t="s">
        <v>24</v>
      </c>
      <c r="B95" s="74" t="s">
        <v>33</v>
      </c>
      <c r="C95" t="s">
        <v>54</v>
      </c>
      <c r="D95" s="75">
        <f t="shared" si="2"/>
        <v>0.77512710209787494</v>
      </c>
      <c r="E95">
        <v>135.5</v>
      </c>
      <c r="F95">
        <v>136.9</v>
      </c>
      <c r="G95">
        <v>140.5</v>
      </c>
      <c r="H95">
        <v>141.69999999999999</v>
      </c>
      <c r="I95">
        <v>142.1</v>
      </c>
      <c r="J95">
        <v>145</v>
      </c>
      <c r="K95">
        <v>147.5</v>
      </c>
      <c r="L95">
        <v>149.5</v>
      </c>
      <c r="M95">
        <v>150.4</v>
      </c>
      <c r="N95">
        <v>150.5</v>
      </c>
      <c r="O95">
        <v>152.19999999999999</v>
      </c>
      <c r="P95">
        <v>151.19999999999999</v>
      </c>
      <c r="Q95">
        <v>151.80000000000001</v>
      </c>
      <c r="R95">
        <v>152.69999999999999</v>
      </c>
      <c r="S95">
        <v>153.1</v>
      </c>
      <c r="T95">
        <v>154.19999999999999</v>
      </c>
      <c r="U95">
        <v>159.30000000000001</v>
      </c>
      <c r="V95">
        <v>159.4</v>
      </c>
      <c r="W95">
        <v>157.19999999999999</v>
      </c>
      <c r="X95">
        <v>157.4</v>
      </c>
      <c r="Y95">
        <v>157.69999999999999</v>
      </c>
      <c r="Z95">
        <v>158.19999999999999</v>
      </c>
      <c r="AA95">
        <v>158.80000000000001</v>
      </c>
      <c r="AB95">
        <v>158.9</v>
      </c>
      <c r="AC95">
        <v>159.4</v>
      </c>
      <c r="AD95">
        <v>159.5</v>
      </c>
      <c r="AE95">
        <v>159.80000000000001</v>
      </c>
      <c r="AF95">
        <v>159.80000000000001</v>
      </c>
    </row>
    <row r="96" spans="1:32" x14ac:dyDescent="0.3">
      <c r="A96" t="s">
        <v>25</v>
      </c>
      <c r="B96" s="74" t="s">
        <v>33</v>
      </c>
      <c r="C96" t="s">
        <v>25</v>
      </c>
      <c r="D96" s="75">
        <f t="shared" si="2"/>
        <v>0.71873792028041816</v>
      </c>
      <c r="E96">
        <v>144.30000000000001</v>
      </c>
      <c r="F96">
        <v>145.4</v>
      </c>
      <c r="G96">
        <v>147.30000000000001</v>
      </c>
      <c r="H96">
        <v>148.6</v>
      </c>
      <c r="I96">
        <v>149.1</v>
      </c>
      <c r="J96">
        <v>152.6</v>
      </c>
      <c r="K96">
        <v>150.69999999999999</v>
      </c>
      <c r="L96">
        <v>151.19999999999999</v>
      </c>
      <c r="M96">
        <v>153.69999999999999</v>
      </c>
      <c r="N96">
        <v>153.9</v>
      </c>
      <c r="O96">
        <v>155.1</v>
      </c>
      <c r="P96">
        <v>156.69999999999999</v>
      </c>
      <c r="Q96">
        <v>157.6</v>
      </c>
      <c r="R96">
        <v>158.4</v>
      </c>
      <c r="S96">
        <v>159.5</v>
      </c>
      <c r="T96">
        <v>160.80000000000001</v>
      </c>
      <c r="U96">
        <v>162.19999999999999</v>
      </c>
      <c r="V96">
        <v>163.19999999999999</v>
      </c>
      <c r="W96">
        <v>164.1</v>
      </c>
      <c r="X96">
        <v>164.6</v>
      </c>
      <c r="Y96">
        <v>165.1</v>
      </c>
      <c r="Z96">
        <v>165.8</v>
      </c>
      <c r="AA96">
        <v>166.3</v>
      </c>
      <c r="AB96">
        <v>166.7</v>
      </c>
      <c r="AC96">
        <v>167.1</v>
      </c>
      <c r="AD96">
        <v>167.8</v>
      </c>
      <c r="AE96">
        <v>168.4</v>
      </c>
      <c r="AF96">
        <v>168.4</v>
      </c>
    </row>
    <row r="97" spans="1:32" x14ac:dyDescent="0.3">
      <c r="A97" t="s">
        <v>26</v>
      </c>
      <c r="B97" s="74" t="s">
        <v>33</v>
      </c>
      <c r="C97" t="s">
        <v>26</v>
      </c>
      <c r="D97" s="75">
        <f t="shared" si="2"/>
        <v>0.55291078874698063</v>
      </c>
      <c r="E97">
        <v>156.9</v>
      </c>
      <c r="F97">
        <v>156.1</v>
      </c>
      <c r="G97">
        <v>156.6</v>
      </c>
      <c r="H97">
        <v>157.6</v>
      </c>
      <c r="I97">
        <v>157.6</v>
      </c>
      <c r="J97">
        <v>156.6</v>
      </c>
      <c r="K97">
        <v>158.1</v>
      </c>
      <c r="L97">
        <v>160.30000000000001</v>
      </c>
      <c r="M97">
        <v>160.4</v>
      </c>
      <c r="N97">
        <v>160.30000000000001</v>
      </c>
      <c r="O97">
        <v>160.30000000000001</v>
      </c>
      <c r="P97">
        <v>160.80000000000001</v>
      </c>
      <c r="Q97">
        <v>160.6</v>
      </c>
      <c r="R97">
        <v>161</v>
      </c>
      <c r="S97">
        <v>162</v>
      </c>
      <c r="T97">
        <v>162.69999999999999</v>
      </c>
      <c r="U97">
        <v>164</v>
      </c>
      <c r="V97">
        <v>165.2</v>
      </c>
      <c r="W97">
        <v>166.5</v>
      </c>
      <c r="X97">
        <v>169.1</v>
      </c>
      <c r="Y97">
        <v>169.9</v>
      </c>
      <c r="Z97">
        <v>170.9</v>
      </c>
      <c r="AA97">
        <v>171.2</v>
      </c>
      <c r="AB97">
        <v>171.5</v>
      </c>
      <c r="AC97">
        <v>171.8</v>
      </c>
      <c r="AD97">
        <v>171.8</v>
      </c>
      <c r="AE97">
        <v>172.5</v>
      </c>
      <c r="AF97">
        <v>172.5</v>
      </c>
    </row>
    <row r="98" spans="1:32" x14ac:dyDescent="0.3">
      <c r="A98" t="s">
        <v>27</v>
      </c>
      <c r="B98" s="74" t="s">
        <v>33</v>
      </c>
      <c r="C98" t="s">
        <v>27</v>
      </c>
      <c r="D98" s="75">
        <f t="shared" si="2"/>
        <v>0.51823921073517254</v>
      </c>
      <c r="E98">
        <v>157.9</v>
      </c>
      <c r="F98">
        <v>157.69999999999999</v>
      </c>
      <c r="G98">
        <v>156.69999999999999</v>
      </c>
      <c r="H98">
        <v>154.9</v>
      </c>
      <c r="I98">
        <v>156.6</v>
      </c>
      <c r="J98">
        <v>157.5</v>
      </c>
      <c r="K98">
        <v>158</v>
      </c>
      <c r="L98">
        <v>159.6</v>
      </c>
      <c r="M98">
        <v>159.6</v>
      </c>
      <c r="N98">
        <v>159.6</v>
      </c>
      <c r="O98">
        <v>160.30000000000001</v>
      </c>
      <c r="P98">
        <v>161.80000000000001</v>
      </c>
      <c r="Q98">
        <v>162.4</v>
      </c>
      <c r="R98">
        <v>162.80000000000001</v>
      </c>
      <c r="S98">
        <v>164.2</v>
      </c>
      <c r="T98">
        <v>166.8</v>
      </c>
      <c r="U98">
        <v>168.4</v>
      </c>
      <c r="V98">
        <v>168.2</v>
      </c>
      <c r="W98">
        <v>169.2</v>
      </c>
      <c r="X98">
        <v>169.8</v>
      </c>
      <c r="Y98">
        <v>171.4</v>
      </c>
      <c r="Z98">
        <v>171.1</v>
      </c>
      <c r="AA98">
        <v>172.3</v>
      </c>
      <c r="AB98">
        <v>173.8</v>
      </c>
      <c r="AC98">
        <v>176</v>
      </c>
      <c r="AD98">
        <v>178.8</v>
      </c>
      <c r="AE98">
        <v>181.4</v>
      </c>
      <c r="AF98">
        <v>181.5</v>
      </c>
    </row>
    <row r="99" spans="1:32" x14ac:dyDescent="0.3">
      <c r="A99" t="s">
        <v>28</v>
      </c>
      <c r="B99" s="74" t="s">
        <v>33</v>
      </c>
      <c r="C99" t="s">
        <v>58</v>
      </c>
      <c r="D99" s="75">
        <f t="shared" si="2"/>
        <v>0.67538784217301051</v>
      </c>
      <c r="E99">
        <v>146.9</v>
      </c>
      <c r="F99">
        <v>147.6</v>
      </c>
      <c r="G99">
        <v>149.30000000000001</v>
      </c>
      <c r="H99">
        <v>150</v>
      </c>
      <c r="I99">
        <v>150.5</v>
      </c>
      <c r="J99">
        <v>152.30000000000001</v>
      </c>
      <c r="K99">
        <v>153.4</v>
      </c>
      <c r="L99">
        <v>155</v>
      </c>
      <c r="M99">
        <v>156</v>
      </c>
      <c r="N99">
        <v>156</v>
      </c>
      <c r="O99">
        <v>157</v>
      </c>
      <c r="P99">
        <v>157.30000000000001</v>
      </c>
      <c r="Q99">
        <v>157.80000000000001</v>
      </c>
      <c r="R99">
        <v>158.6</v>
      </c>
      <c r="S99">
        <v>159.4</v>
      </c>
      <c r="T99">
        <v>160.6</v>
      </c>
      <c r="U99">
        <v>163.1</v>
      </c>
      <c r="V99">
        <v>163.80000000000001</v>
      </c>
      <c r="W99">
        <v>163.80000000000001</v>
      </c>
      <c r="X99">
        <v>164.7</v>
      </c>
      <c r="Y99">
        <v>165.4</v>
      </c>
      <c r="Z99">
        <v>166.1</v>
      </c>
      <c r="AA99">
        <v>166.8</v>
      </c>
      <c r="AB99">
        <v>167.4</v>
      </c>
      <c r="AC99">
        <v>168.2</v>
      </c>
      <c r="AD99">
        <v>168.9</v>
      </c>
      <c r="AE99">
        <v>170</v>
      </c>
      <c r="AF99">
        <v>170</v>
      </c>
    </row>
    <row r="100" spans="1:32" x14ac:dyDescent="0.3">
      <c r="A100" t="s">
        <v>29</v>
      </c>
      <c r="B100" s="74" t="s">
        <v>33</v>
      </c>
      <c r="C100" t="s">
        <v>55</v>
      </c>
      <c r="D100" s="75">
        <f t="shared" si="2"/>
        <v>0.66655127045903018</v>
      </c>
      <c r="E100">
        <v>156.9</v>
      </c>
      <c r="F100">
        <v>156</v>
      </c>
      <c r="G100">
        <v>156.5</v>
      </c>
      <c r="H100">
        <v>156.9</v>
      </c>
      <c r="I100">
        <v>158</v>
      </c>
      <c r="J100">
        <v>159.5</v>
      </c>
      <c r="K100">
        <v>160.4</v>
      </c>
      <c r="L100">
        <v>161.80000000000001</v>
      </c>
      <c r="M100">
        <v>162.30000000000001</v>
      </c>
      <c r="N100">
        <v>162.30000000000001</v>
      </c>
      <c r="O100">
        <v>164.6</v>
      </c>
      <c r="P100">
        <v>165.6</v>
      </c>
      <c r="Q100">
        <v>165.2</v>
      </c>
      <c r="R100">
        <v>165</v>
      </c>
      <c r="S100">
        <v>165.5</v>
      </c>
      <c r="T100">
        <v>166.5</v>
      </c>
      <c r="U100">
        <v>169.2</v>
      </c>
      <c r="V100">
        <v>170.8</v>
      </c>
      <c r="W100">
        <v>171.4</v>
      </c>
      <c r="X100">
        <v>172.3</v>
      </c>
      <c r="Y100">
        <v>173.1</v>
      </c>
      <c r="Z100">
        <v>174.1</v>
      </c>
      <c r="AA100">
        <v>175.3</v>
      </c>
      <c r="AB100">
        <v>174.1</v>
      </c>
      <c r="AC100">
        <v>174.1</v>
      </c>
      <c r="AD100">
        <v>174.9</v>
      </c>
      <c r="AE100">
        <v>176.3</v>
      </c>
      <c r="AF100">
        <v>176.3</v>
      </c>
    </row>
  </sheetData>
  <conditionalFormatting sqref="D8:D34">
    <cfRule type="colorScale" priority="7">
      <colorScale>
        <cfvo type="min"/>
        <cfvo type="percentile" val="50"/>
        <cfvo type="max"/>
        <color rgb="FFF8696B"/>
        <color rgb="FFFFEB84"/>
        <color rgb="FF63BE7B"/>
      </colorScale>
    </cfRule>
  </conditionalFormatting>
  <conditionalFormatting sqref="D42:D68">
    <cfRule type="colorScale" priority="6">
      <colorScale>
        <cfvo type="min"/>
        <cfvo type="percentile" val="50"/>
        <cfvo type="max"/>
        <color rgb="FFF8696B"/>
        <color rgb="FFFFEB84"/>
        <color rgb="FF63BE7B"/>
      </colorScale>
    </cfRule>
  </conditionalFormatting>
  <conditionalFormatting sqref="D74:D100">
    <cfRule type="colorScale" priority="5">
      <colorScale>
        <cfvo type="min"/>
        <cfvo type="percentile" val="50"/>
        <cfvo type="max"/>
        <color rgb="FFF8696B"/>
        <color rgb="FFFFEB84"/>
        <color rgb="FF63BE7B"/>
      </colorScale>
    </cfRule>
  </conditionalFormatting>
  <conditionalFormatting sqref="AJ8:AL34">
    <cfRule type="colorScale" priority="4">
      <colorScale>
        <cfvo type="min"/>
        <cfvo type="percentile" val="50"/>
        <cfvo type="max"/>
        <color rgb="FFF8696B"/>
        <color rgb="FFFFEB84"/>
        <color rgb="FF63BE7B"/>
      </colorScale>
    </cfRule>
  </conditionalFormatting>
  <conditionalFormatting sqref="AJ8:AJ34">
    <cfRule type="colorScale" priority="3">
      <colorScale>
        <cfvo type="min"/>
        <cfvo type="percentile" val="50"/>
        <cfvo type="max"/>
        <color rgb="FFF8696B"/>
        <color rgb="FFFFEB84"/>
        <color rgb="FF63BE7B"/>
      </colorScale>
    </cfRule>
  </conditionalFormatting>
  <conditionalFormatting sqref="AK8:AK34">
    <cfRule type="colorScale" priority="2">
      <colorScale>
        <cfvo type="min"/>
        <cfvo type="percentile" val="50"/>
        <cfvo type="max"/>
        <color rgb="FFF8696B"/>
        <color rgb="FFFFEB84"/>
        <color rgb="FF63BE7B"/>
      </colorScale>
    </cfRule>
  </conditionalFormatting>
  <conditionalFormatting sqref="AL8:AL34">
    <cfRule type="colorScale" priority="1">
      <colorScale>
        <cfvo type="min"/>
        <cfvo type="percentile" val="50"/>
        <cfvo type="max"/>
        <color rgb="FFF8696B"/>
        <color rgb="FFFFEB84"/>
        <color rgb="FF63BE7B"/>
      </colorScale>
    </cfRule>
  </conditionalFormatting>
  <pageMargins left="0.7" right="0.7" top="0.75" bottom="0.75" header="0.3" footer="0.3"/>
  <drawing r:id="rId1"/>
  <tableParts count="4">
    <tablePart r:id="rId2"/>
    <tablePart r:id="rId3"/>
    <tablePart r:id="rId4"/>
    <tablePart r:id="rId5"/>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F0661F-8B66-4EA6-8F73-C39AD454CA09}">
  <dimension ref="A1:O40"/>
  <sheetViews>
    <sheetView workbookViewId="0">
      <selection sqref="A1:O1"/>
    </sheetView>
  </sheetViews>
  <sheetFormatPr defaultRowHeight="14.4" x14ac:dyDescent="0.3"/>
  <sheetData>
    <row r="1" spans="1:15" ht="20.399999999999999" x14ac:dyDescent="0.3">
      <c r="A1" s="70" t="s">
        <v>185</v>
      </c>
      <c r="B1" s="70"/>
      <c r="C1" s="70"/>
      <c r="D1" s="70"/>
      <c r="E1" s="70"/>
      <c r="F1" s="70"/>
      <c r="G1" s="70"/>
      <c r="H1" s="70"/>
      <c r="I1" s="70"/>
      <c r="J1" s="70"/>
      <c r="K1" s="70"/>
      <c r="L1" s="70"/>
      <c r="M1" s="70"/>
      <c r="N1" s="70"/>
      <c r="O1" s="70"/>
    </row>
    <row r="2" spans="1:15" ht="15.6" x14ac:dyDescent="0.3">
      <c r="A2" s="69"/>
      <c r="B2" s="66"/>
      <c r="C2" s="66"/>
      <c r="D2" s="66"/>
      <c r="E2" s="66"/>
      <c r="F2" s="66"/>
      <c r="G2" s="66"/>
      <c r="H2" s="66"/>
      <c r="I2" s="66"/>
      <c r="J2" s="66"/>
      <c r="K2" s="66"/>
      <c r="L2" s="66"/>
      <c r="M2" s="66"/>
      <c r="N2" s="66"/>
      <c r="O2" s="66"/>
    </row>
    <row r="3" spans="1:15" ht="15.6" x14ac:dyDescent="0.3">
      <c r="A3" s="69"/>
      <c r="B3" s="66"/>
      <c r="C3" s="66"/>
      <c r="D3" s="66"/>
      <c r="E3" s="66"/>
      <c r="F3" s="66"/>
      <c r="G3" s="66"/>
      <c r="H3" s="66"/>
      <c r="I3" s="66"/>
      <c r="J3" s="66"/>
      <c r="K3" s="66"/>
      <c r="L3" s="66"/>
      <c r="M3" s="66"/>
      <c r="N3" s="66"/>
      <c r="O3" s="66"/>
    </row>
    <row r="4" spans="1:15" ht="15.6" x14ac:dyDescent="0.3">
      <c r="A4" s="69"/>
      <c r="B4" s="66"/>
      <c r="C4" s="66"/>
      <c r="D4" s="66"/>
      <c r="E4" s="66"/>
      <c r="F4" s="66"/>
      <c r="G4" s="66"/>
      <c r="H4" s="66"/>
      <c r="I4" s="66"/>
      <c r="J4" s="66"/>
      <c r="K4" s="66"/>
      <c r="L4" s="66"/>
      <c r="M4" s="66"/>
      <c r="N4" s="66"/>
      <c r="O4" s="66"/>
    </row>
    <row r="5" spans="1:15" ht="15.6" x14ac:dyDescent="0.3">
      <c r="A5" s="69"/>
      <c r="B5" s="66"/>
      <c r="C5" s="66"/>
      <c r="D5" s="66"/>
      <c r="E5" s="66"/>
      <c r="F5" s="66"/>
      <c r="G5" s="66"/>
      <c r="H5" s="66"/>
      <c r="I5" s="66"/>
      <c r="J5" s="66"/>
      <c r="K5" s="66"/>
      <c r="L5" s="66"/>
      <c r="M5" s="66"/>
      <c r="N5" s="66"/>
      <c r="O5" s="66"/>
    </row>
    <row r="6" spans="1:15" ht="15.6" x14ac:dyDescent="0.3">
      <c r="A6" s="69"/>
      <c r="B6" s="66"/>
      <c r="C6" s="66"/>
      <c r="D6" s="66"/>
      <c r="E6" s="66"/>
      <c r="F6" s="66"/>
      <c r="G6" s="66"/>
      <c r="H6" s="66"/>
      <c r="I6" s="66"/>
      <c r="J6" s="66"/>
      <c r="K6" s="66"/>
      <c r="L6" s="66"/>
      <c r="M6" s="66"/>
      <c r="N6" s="66"/>
      <c r="O6" s="66"/>
    </row>
    <row r="7" spans="1:15" ht="17.399999999999999" x14ac:dyDescent="0.3">
      <c r="A7" s="68" t="s">
        <v>182</v>
      </c>
      <c r="B7" s="68"/>
      <c r="C7" s="68"/>
      <c r="D7" s="68"/>
      <c r="E7" s="68"/>
      <c r="F7" s="68"/>
      <c r="G7" s="68"/>
      <c r="H7" s="68"/>
      <c r="I7" s="68"/>
      <c r="J7" s="68"/>
      <c r="K7" s="68"/>
      <c r="L7" s="68"/>
      <c r="M7" s="68"/>
      <c r="N7" s="68"/>
      <c r="O7" s="68"/>
    </row>
    <row r="8" spans="1:15" ht="15.6" x14ac:dyDescent="0.3">
      <c r="A8" s="69"/>
      <c r="B8" s="66"/>
      <c r="C8" s="66"/>
      <c r="D8" s="66"/>
      <c r="E8" s="66"/>
      <c r="F8" s="66"/>
      <c r="G8" s="66"/>
      <c r="H8" s="66"/>
      <c r="I8" s="66"/>
      <c r="J8" s="66"/>
      <c r="K8" s="66"/>
      <c r="L8" s="66"/>
      <c r="M8" s="66"/>
      <c r="N8" s="66"/>
      <c r="O8" s="66"/>
    </row>
    <row r="9" spans="1:15" ht="15.6" x14ac:dyDescent="0.3">
      <c r="A9" s="69" t="s">
        <v>183</v>
      </c>
      <c r="B9" s="66"/>
      <c r="C9" s="66"/>
      <c r="D9" s="66"/>
      <c r="E9" s="66"/>
      <c r="F9" s="66"/>
      <c r="G9" s="66"/>
      <c r="H9" s="66"/>
      <c r="I9" s="66"/>
      <c r="J9" s="66"/>
      <c r="K9" s="66"/>
      <c r="L9" s="66"/>
      <c r="M9" s="66"/>
      <c r="N9" s="66"/>
      <c r="O9" s="66"/>
    </row>
    <row r="10" spans="1:15" ht="15.6" x14ac:dyDescent="0.3">
      <c r="A10" s="69" t="s">
        <v>184</v>
      </c>
      <c r="B10" s="66"/>
      <c r="C10" s="66"/>
      <c r="D10" s="66"/>
      <c r="E10" s="66"/>
      <c r="F10" s="66"/>
      <c r="G10" s="66"/>
      <c r="H10" s="66"/>
      <c r="I10" s="66"/>
      <c r="J10" s="66"/>
      <c r="K10" s="66"/>
      <c r="L10" s="66"/>
      <c r="M10" s="66"/>
      <c r="N10" s="66"/>
      <c r="O10" s="66"/>
    </row>
    <row r="11" spans="1:15" ht="15.6" x14ac:dyDescent="0.3">
      <c r="A11" s="66"/>
      <c r="B11" s="71"/>
      <c r="C11" s="71"/>
      <c r="D11" s="71"/>
      <c r="E11" s="71"/>
      <c r="F11" s="71"/>
      <c r="G11" s="71"/>
      <c r="H11" s="71"/>
      <c r="I11" s="71"/>
      <c r="J11" s="71"/>
      <c r="K11" s="71"/>
      <c r="L11" s="72"/>
      <c r="M11" s="72"/>
      <c r="N11" s="69"/>
      <c r="O11" s="73" t="s">
        <v>186</v>
      </c>
    </row>
    <row r="12" spans="1:15" ht="15.6" x14ac:dyDescent="0.3">
      <c r="A12" s="53" t="s">
        <v>1</v>
      </c>
      <c r="B12" s="54">
        <v>33329</v>
      </c>
      <c r="C12" s="54">
        <v>33359</v>
      </c>
      <c r="D12" s="54">
        <v>33390</v>
      </c>
      <c r="E12" s="54">
        <v>33420</v>
      </c>
      <c r="F12" s="54">
        <v>33451</v>
      </c>
      <c r="G12" s="54">
        <v>33482</v>
      </c>
      <c r="H12" s="54">
        <v>33512</v>
      </c>
      <c r="I12" s="54">
        <v>33543</v>
      </c>
      <c r="J12" s="54">
        <v>33573</v>
      </c>
      <c r="K12" s="54">
        <v>33604</v>
      </c>
      <c r="L12" s="54">
        <v>33635</v>
      </c>
      <c r="M12" s="54">
        <v>33664</v>
      </c>
      <c r="N12" s="54" t="s">
        <v>109</v>
      </c>
      <c r="O12" s="54" t="s">
        <v>110</v>
      </c>
    </row>
    <row r="13" spans="1:15" ht="15.6" x14ac:dyDescent="0.3">
      <c r="A13" s="57" t="s">
        <v>140</v>
      </c>
      <c r="B13" s="58">
        <v>22.51</v>
      </c>
      <c r="C13" s="58">
        <v>26.6</v>
      </c>
      <c r="D13" s="58">
        <v>28.49</v>
      </c>
      <c r="E13" s="58">
        <v>27.26</v>
      </c>
      <c r="F13" s="58">
        <v>28.328848863636367</v>
      </c>
      <c r="G13" s="58">
        <v>31.34</v>
      </c>
      <c r="H13" s="58">
        <v>30.5</v>
      </c>
      <c r="I13" s="58">
        <v>30.926621590909097</v>
      </c>
      <c r="J13" s="58">
        <v>23.25</v>
      </c>
      <c r="K13" s="58">
        <v>24.02</v>
      </c>
      <c r="L13" s="58">
        <v>25.92</v>
      </c>
      <c r="M13" s="58">
        <v>23.82</v>
      </c>
      <c r="N13" s="59">
        <v>26.924166666666665</v>
      </c>
      <c r="O13" s="60" t="s">
        <v>141</v>
      </c>
    </row>
    <row r="14" spans="1:15" ht="15.6" x14ac:dyDescent="0.3">
      <c r="A14" s="61" t="s">
        <v>142</v>
      </c>
      <c r="B14" s="58">
        <v>24.82</v>
      </c>
      <c r="C14" s="58">
        <v>26.95</v>
      </c>
      <c r="D14" s="58">
        <v>26.63</v>
      </c>
      <c r="E14" s="58">
        <v>23.99</v>
      </c>
      <c r="F14" s="58">
        <v>25.01</v>
      </c>
      <c r="G14" s="58">
        <v>24.79</v>
      </c>
      <c r="H14" s="58">
        <v>20.05</v>
      </c>
      <c r="I14" s="58">
        <v>18.239999999999998</v>
      </c>
      <c r="J14" s="58">
        <v>18.239999999999998</v>
      </c>
      <c r="K14" s="58">
        <v>18.920000000000002</v>
      </c>
      <c r="L14" s="58">
        <v>19.529986842105259</v>
      </c>
      <c r="M14" s="58">
        <v>23.31</v>
      </c>
      <c r="N14" s="59">
        <v>22.551701476377943</v>
      </c>
      <c r="O14" s="60" t="s">
        <v>141</v>
      </c>
    </row>
    <row r="15" spans="1:15" ht="15.6" x14ac:dyDescent="0.3">
      <c r="A15" s="57" t="s">
        <v>143</v>
      </c>
      <c r="B15" s="58">
        <v>25.029405681818183</v>
      </c>
      <c r="C15" s="58">
        <v>24.994865217391304</v>
      </c>
      <c r="D15" s="58">
        <v>24.051813749999997</v>
      </c>
      <c r="E15" s="58">
        <v>25.183221739130431</v>
      </c>
      <c r="F15" s="58">
        <v>25.855818181818179</v>
      </c>
      <c r="G15" s="58">
        <v>27.495242857142859</v>
      </c>
      <c r="H15" s="58">
        <v>26.902101086956524</v>
      </c>
      <c r="I15" s="58">
        <v>23.682511904761906</v>
      </c>
      <c r="J15" s="58">
        <v>27.110101190476186</v>
      </c>
      <c r="K15" s="58">
        <v>29.592549999999996</v>
      </c>
      <c r="L15" s="58">
        <v>31.308380555555548</v>
      </c>
      <c r="M15" s="58">
        <v>28.825039285714286</v>
      </c>
      <c r="N15" s="59">
        <v>26.6</v>
      </c>
      <c r="O15" s="60" t="s">
        <v>141</v>
      </c>
    </row>
    <row r="16" spans="1:15" ht="15.6" x14ac:dyDescent="0.3">
      <c r="A16" s="61" t="s">
        <v>144</v>
      </c>
      <c r="B16" s="58">
        <v>24.214591666666667</v>
      </c>
      <c r="C16" s="58">
        <v>24.98887894736842</v>
      </c>
      <c r="D16" s="58">
        <v>26.425924999999999</v>
      </c>
      <c r="E16" s="58">
        <v>27.458449999999999</v>
      </c>
      <c r="F16" s="58">
        <v>28.663598809523808</v>
      </c>
      <c r="G16" s="58">
        <v>26.265218181818184</v>
      </c>
      <c r="H16" s="58">
        <v>28.449944318181817</v>
      </c>
      <c r="I16" s="58">
        <v>28.226284210526316</v>
      </c>
      <c r="J16" s="58">
        <v>28.966610714285707</v>
      </c>
      <c r="K16" s="58">
        <v>29.999534210526313</v>
      </c>
      <c r="L16" s="58">
        <v>29.647267105263154</v>
      </c>
      <c r="M16" s="58">
        <v>32.210322826086951</v>
      </c>
      <c r="N16" s="59">
        <v>27.98</v>
      </c>
      <c r="O16" s="60" t="s">
        <v>141</v>
      </c>
    </row>
    <row r="17" spans="1:15" ht="15.6" x14ac:dyDescent="0.3">
      <c r="A17" s="57" t="s">
        <v>145</v>
      </c>
      <c r="B17" s="58">
        <v>32.365204761904764</v>
      </c>
      <c r="C17" s="58">
        <v>36.078851249999992</v>
      </c>
      <c r="D17" s="58">
        <v>34.159547619047622</v>
      </c>
      <c r="E17" s="58">
        <v>36.353381818181809</v>
      </c>
      <c r="F17" s="58">
        <v>40.517199999999995</v>
      </c>
      <c r="G17" s="58">
        <v>39.149477272727275</v>
      </c>
      <c r="H17" s="58">
        <v>43.375466666666675</v>
      </c>
      <c r="I17" s="58">
        <v>38.898870000000002</v>
      </c>
      <c r="J17" s="58">
        <v>36.816215476190465</v>
      </c>
      <c r="K17" s="58">
        <v>40.96200249999999</v>
      </c>
      <c r="L17" s="58">
        <v>42.670598611111117</v>
      </c>
      <c r="M17" s="58">
        <v>49.27002045454546</v>
      </c>
      <c r="N17" s="59">
        <v>39.205833333333331</v>
      </c>
      <c r="O17" s="60" t="s">
        <v>141</v>
      </c>
    </row>
    <row r="18" spans="1:15" ht="15.6" x14ac:dyDescent="0.3">
      <c r="A18" s="61" t="s">
        <v>146</v>
      </c>
      <c r="B18" s="58">
        <v>49.427602380952379</v>
      </c>
      <c r="C18" s="58">
        <v>46.995223684210522</v>
      </c>
      <c r="D18" s="58">
        <v>52.720745454545458</v>
      </c>
      <c r="E18" s="58">
        <v>55.008083333333325</v>
      </c>
      <c r="F18" s="58">
        <v>60.048336363636373</v>
      </c>
      <c r="G18" s="58">
        <v>59.739213636363637</v>
      </c>
      <c r="H18" s="58">
        <v>56.279061904761896</v>
      </c>
      <c r="I18" s="58">
        <v>53.143807500000001</v>
      </c>
      <c r="J18" s="58">
        <v>55.045628571428587</v>
      </c>
      <c r="K18" s="58">
        <v>60.54291666666667</v>
      </c>
      <c r="L18" s="58">
        <v>58.953329999999994</v>
      </c>
      <c r="M18" s="58">
        <v>60.011573913043478</v>
      </c>
      <c r="N18" s="59">
        <v>55.720000000000006</v>
      </c>
      <c r="O18" s="60" t="s">
        <v>147</v>
      </c>
    </row>
    <row r="19" spans="1:15" ht="15.6" x14ac:dyDescent="0.3">
      <c r="A19" s="57" t="s">
        <v>148</v>
      </c>
      <c r="B19" s="58">
        <v>67.055031315789464</v>
      </c>
      <c r="C19" s="58">
        <v>67.22359075</v>
      </c>
      <c r="D19" s="58">
        <v>66.897534999999976</v>
      </c>
      <c r="E19" s="58">
        <v>71.285795238095261</v>
      </c>
      <c r="F19" s="58">
        <v>70.775921818181828</v>
      </c>
      <c r="G19" s="58">
        <v>60.933454285714276</v>
      </c>
      <c r="H19" s="58">
        <v>57.270684761904761</v>
      </c>
      <c r="I19" s="58">
        <v>57.793637500000003</v>
      </c>
      <c r="J19" s="58">
        <v>60.34467149999999</v>
      </c>
      <c r="K19" s="58">
        <v>52.529441428571438</v>
      </c>
      <c r="L19" s="58">
        <v>56.531044722222227</v>
      </c>
      <c r="M19" s="58">
        <v>60.262107954545442</v>
      </c>
      <c r="N19" s="59">
        <v>62.46</v>
      </c>
      <c r="O19" s="60" t="s">
        <v>149</v>
      </c>
    </row>
    <row r="20" spans="1:15" ht="15.6" x14ac:dyDescent="0.3">
      <c r="A20" s="61" t="s">
        <v>150</v>
      </c>
      <c r="B20" s="58">
        <v>65.481951250000009</v>
      </c>
      <c r="C20" s="58">
        <v>65.695437249999983</v>
      </c>
      <c r="D20" s="58">
        <v>68.099250714285716</v>
      </c>
      <c r="E20" s="58">
        <v>72.575061818181794</v>
      </c>
      <c r="F20" s="58">
        <v>68.982336590909085</v>
      </c>
      <c r="G20" s="58">
        <v>74.776604250000005</v>
      </c>
      <c r="H20" s="58">
        <v>79.327164347826084</v>
      </c>
      <c r="I20" s="58">
        <v>89.107013571428567</v>
      </c>
      <c r="J20" s="58">
        <v>87.921265000000034</v>
      </c>
      <c r="K20" s="58">
        <v>89.517554090909101</v>
      </c>
      <c r="L20" s="58">
        <v>92.374237368421049</v>
      </c>
      <c r="M20" s="58">
        <v>99.759819499999978</v>
      </c>
      <c r="N20" s="59">
        <v>79.249166666666667</v>
      </c>
      <c r="O20" s="60" t="s">
        <v>151</v>
      </c>
    </row>
    <row r="21" spans="1:15" ht="15.6" x14ac:dyDescent="0.3">
      <c r="A21" s="57" t="s">
        <v>152</v>
      </c>
      <c r="B21" s="58">
        <v>105.72015318181816</v>
      </c>
      <c r="C21" s="58">
        <v>120.90896144736843</v>
      </c>
      <c r="D21" s="58">
        <v>129.71535511904762</v>
      </c>
      <c r="E21" s="58">
        <v>132.47124826086957</v>
      </c>
      <c r="F21" s="58">
        <v>113.05438523809524</v>
      </c>
      <c r="G21" s="58">
        <v>96.812891590909103</v>
      </c>
      <c r="H21" s="58">
        <v>69.121526666666668</v>
      </c>
      <c r="I21" s="58">
        <v>50.907636000000011</v>
      </c>
      <c r="J21" s="58">
        <v>40.61143324999999</v>
      </c>
      <c r="K21" s="58">
        <v>43.986057631578959</v>
      </c>
      <c r="L21" s="58">
        <v>43.217028000000006</v>
      </c>
      <c r="M21" s="58">
        <v>46.021762045454544</v>
      </c>
      <c r="N21" s="59">
        <v>83.566666666666663</v>
      </c>
      <c r="O21" s="60" t="s">
        <v>153</v>
      </c>
    </row>
    <row r="22" spans="1:15" ht="15.6" x14ac:dyDescent="0.3">
      <c r="A22" s="61" t="s">
        <v>154</v>
      </c>
      <c r="B22" s="58">
        <v>50.135601875000006</v>
      </c>
      <c r="C22" s="58">
        <v>58.003360416666673</v>
      </c>
      <c r="D22" s="58">
        <v>69.115276136363633</v>
      </c>
      <c r="E22" s="58">
        <v>64.82460978260869</v>
      </c>
      <c r="F22" s="58">
        <v>71.979192105263166</v>
      </c>
      <c r="G22" s="58">
        <v>67.701650000000001</v>
      </c>
      <c r="H22" s="58">
        <v>73.064288636363642</v>
      </c>
      <c r="I22" s="58">
        <v>77.390866249999959</v>
      </c>
      <c r="J22" s="58">
        <v>75.01622261904761</v>
      </c>
      <c r="K22" s="58">
        <v>76.608826250000021</v>
      </c>
      <c r="L22" s="58">
        <v>73.694277777777771</v>
      </c>
      <c r="M22" s="58">
        <v>78.018300000000025</v>
      </c>
      <c r="N22" s="59">
        <v>69.762270040485845</v>
      </c>
      <c r="O22" s="60" t="s">
        <v>155</v>
      </c>
    </row>
    <row r="23" spans="1:15" ht="15.6" x14ac:dyDescent="0.3">
      <c r="A23" s="61" t="s">
        <v>156</v>
      </c>
      <c r="B23" s="58">
        <v>84.08172900000001</v>
      </c>
      <c r="C23" s="58">
        <v>76.161427777777774</v>
      </c>
      <c r="D23" s="58">
        <v>74.331090000000003</v>
      </c>
      <c r="E23" s="58">
        <v>73.543052272727266</v>
      </c>
      <c r="F23" s="58">
        <v>75.126988999999995</v>
      </c>
      <c r="G23" s="58">
        <v>76.092999999999989</v>
      </c>
      <c r="H23" s="58">
        <v>81.109814285714293</v>
      </c>
      <c r="I23" s="58">
        <v>84.255698500000008</v>
      </c>
      <c r="J23" s="58">
        <v>89.772982380952385</v>
      </c>
      <c r="K23" s="58">
        <v>93.868447999999987</v>
      </c>
      <c r="L23" s="58">
        <v>101.62099944444444</v>
      </c>
      <c r="M23" s="58">
        <v>110.71446956521741</v>
      </c>
      <c r="N23" s="59">
        <v>85.09</v>
      </c>
      <c r="O23" s="60" t="s">
        <v>157</v>
      </c>
    </row>
    <row r="24" spans="1:15" ht="15.6" x14ac:dyDescent="0.3">
      <c r="A24" s="61" t="s">
        <v>158</v>
      </c>
      <c r="B24" s="58">
        <v>118.63579277777778</v>
      </c>
      <c r="C24" s="58">
        <v>110.80254368421052</v>
      </c>
      <c r="D24" s="58">
        <v>109.99406772727275</v>
      </c>
      <c r="E24" s="58">
        <v>112.52711428571428</v>
      </c>
      <c r="F24" s="58">
        <v>106.93536000000002</v>
      </c>
      <c r="G24" s="58">
        <v>108.79064681818183</v>
      </c>
      <c r="H24" s="58">
        <v>106.10836949999998</v>
      </c>
      <c r="I24" s="58">
        <v>109.61574428571427</v>
      </c>
      <c r="J24" s="58">
        <v>107.19388799999999</v>
      </c>
      <c r="K24" s="58">
        <v>110.46828473684211</v>
      </c>
      <c r="L24" s="58">
        <v>117.66619714285711</v>
      </c>
      <c r="M24" s="58">
        <v>123.61055818181818</v>
      </c>
      <c r="N24" s="59">
        <v>111.89</v>
      </c>
      <c r="O24" s="60" t="s">
        <v>159</v>
      </c>
    </row>
    <row r="25" spans="1:15" ht="15.6" x14ac:dyDescent="0.3">
      <c r="A25" s="61" t="s">
        <v>160</v>
      </c>
      <c r="B25" s="58">
        <v>117.97451263157893</v>
      </c>
      <c r="C25" s="58">
        <v>108.05380666666667</v>
      </c>
      <c r="D25" s="58">
        <v>94.507602631578962</v>
      </c>
      <c r="E25" s="58">
        <v>100.33814000000001</v>
      </c>
      <c r="F25" s="58">
        <v>110.06828299999999</v>
      </c>
      <c r="G25" s="58">
        <v>111.77087950000001</v>
      </c>
      <c r="H25" s="58">
        <v>109.78858409090908</v>
      </c>
      <c r="I25" s="58">
        <v>107.87074714285717</v>
      </c>
      <c r="J25" s="58">
        <v>107.28096684210526</v>
      </c>
      <c r="K25" s="58">
        <v>109.55123681818182</v>
      </c>
      <c r="L25" s="58">
        <v>112.67557388888889</v>
      </c>
      <c r="M25" s="58">
        <v>106.44967000000001</v>
      </c>
      <c r="N25" s="59">
        <v>107.97</v>
      </c>
      <c r="O25" s="60" t="s">
        <v>161</v>
      </c>
    </row>
    <row r="26" spans="1:15" ht="15.6" x14ac:dyDescent="0.3">
      <c r="A26" s="57" t="s">
        <v>162</v>
      </c>
      <c r="B26" s="58">
        <v>101.57480404761903</v>
      </c>
      <c r="C26" s="58">
        <v>101.09704973684211</v>
      </c>
      <c r="D26" s="58">
        <v>101.11112850000002</v>
      </c>
      <c r="E26" s="58">
        <v>104.85975108695654</v>
      </c>
      <c r="F26" s="58">
        <v>108.45469894736839</v>
      </c>
      <c r="G26" s="58">
        <v>109.46571142857142</v>
      </c>
      <c r="H26" s="58">
        <v>107.37352068181818</v>
      </c>
      <c r="I26" s="58">
        <v>106.55480452380951</v>
      </c>
      <c r="J26" s="58">
        <v>108.71841975000002</v>
      </c>
      <c r="K26" s="58">
        <v>105.29499857142855</v>
      </c>
      <c r="L26" s="58">
        <v>106.18825474999998</v>
      </c>
      <c r="M26" s="58">
        <v>105.29528785714285</v>
      </c>
      <c r="N26" s="59">
        <v>105.52</v>
      </c>
      <c r="O26" s="60" t="s">
        <v>163</v>
      </c>
    </row>
    <row r="27" spans="1:15" ht="15.6" x14ac:dyDescent="0.3">
      <c r="A27" s="57" t="s">
        <v>164</v>
      </c>
      <c r="B27" s="58">
        <v>105.55533930000001</v>
      </c>
      <c r="C27" s="58">
        <v>106.85322644444446</v>
      </c>
      <c r="D27" s="58">
        <v>109.0539181904762</v>
      </c>
      <c r="E27" s="58">
        <v>106.2961561818182</v>
      </c>
      <c r="F27" s="58">
        <v>101.89198810000001</v>
      </c>
      <c r="G27" s="58">
        <v>96.959094045454563</v>
      </c>
      <c r="H27" s="58">
        <v>86.827638380952408</v>
      </c>
      <c r="I27" s="58">
        <v>77.581451350000009</v>
      </c>
      <c r="J27" s="58">
        <v>61.211098238095246</v>
      </c>
      <c r="K27" s="58">
        <v>46.586617428571437</v>
      </c>
      <c r="L27" s="58">
        <v>56.430382166666682</v>
      </c>
      <c r="M27" s="58">
        <v>55.176776090909101</v>
      </c>
      <c r="N27" s="59">
        <v>84.156300105691088</v>
      </c>
      <c r="O27" s="60" t="s">
        <v>165</v>
      </c>
    </row>
    <row r="28" spans="1:15" ht="15.6" x14ac:dyDescent="0.3">
      <c r="A28" s="57" t="s">
        <v>166</v>
      </c>
      <c r="B28" s="58">
        <v>59.070307599999992</v>
      </c>
      <c r="C28" s="58">
        <v>63.821381000000002</v>
      </c>
      <c r="D28" s="58">
        <v>61.745464190476184</v>
      </c>
      <c r="E28" s="58">
        <v>56.300030227272721</v>
      </c>
      <c r="F28" s="58">
        <v>47.327433333333339</v>
      </c>
      <c r="G28" s="58">
        <v>46.104868599999996</v>
      </c>
      <c r="H28" s="58">
        <v>46.675260727272715</v>
      </c>
      <c r="I28" s="58">
        <v>42.504005149999998</v>
      </c>
      <c r="J28" s="58">
        <v>35.680888380952382</v>
      </c>
      <c r="K28" s="58">
        <v>28.078798200000005</v>
      </c>
      <c r="L28" s="58">
        <v>30.525591894736845</v>
      </c>
      <c r="M28" s="58">
        <v>36.421309142857147</v>
      </c>
      <c r="N28" s="59">
        <v>46.16562723966944</v>
      </c>
      <c r="O28" s="60" t="s">
        <v>167</v>
      </c>
    </row>
    <row r="29" spans="1:15" ht="15.6" x14ac:dyDescent="0.3">
      <c r="A29" s="57" t="s">
        <v>168</v>
      </c>
      <c r="B29" s="58">
        <v>39.879094571428574</v>
      </c>
      <c r="C29" s="58">
        <v>45.006805849999999</v>
      </c>
      <c r="D29" s="58">
        <v>46.963111931818183</v>
      </c>
      <c r="E29" s="58">
        <v>43.519136674999999</v>
      </c>
      <c r="F29" s="58">
        <v>44.384978928571435</v>
      </c>
      <c r="G29" s="58">
        <v>44.480860166666659</v>
      </c>
      <c r="H29" s="58">
        <v>49.252621083333331</v>
      </c>
      <c r="I29" s="58">
        <v>44.456194318181822</v>
      </c>
      <c r="J29" s="58">
        <v>52.735649124999995</v>
      </c>
      <c r="K29" s="58">
        <v>54.077528250000015</v>
      </c>
      <c r="L29" s="58">
        <v>54.86268470000001</v>
      </c>
      <c r="M29" s="58">
        <v>51.469629652173914</v>
      </c>
      <c r="N29" s="59">
        <v>47.557812594621531</v>
      </c>
      <c r="O29" s="60" t="s">
        <v>169</v>
      </c>
    </row>
    <row r="30" spans="1:15" ht="15.6" x14ac:dyDescent="0.3">
      <c r="A30" s="57" t="s">
        <v>170</v>
      </c>
      <c r="B30" s="58">
        <v>52.490691055555551</v>
      </c>
      <c r="C30" s="58">
        <v>50.567623025000003</v>
      </c>
      <c r="D30" s="58">
        <v>46.555774</v>
      </c>
      <c r="E30" s="58">
        <v>47.857632880952387</v>
      </c>
      <c r="F30" s="58">
        <v>50.633570880952391</v>
      </c>
      <c r="G30" s="58">
        <v>54.523307750000001</v>
      </c>
      <c r="H30" s="58">
        <v>56.059518095238097</v>
      </c>
      <c r="I30" s="58">
        <v>61.315904545454551</v>
      </c>
      <c r="J30" s="58">
        <v>62.290080157894742</v>
      </c>
      <c r="K30" s="58">
        <v>67.060153386363623</v>
      </c>
      <c r="L30" s="58">
        <v>63.537335763157884</v>
      </c>
      <c r="M30" s="58">
        <v>63.795413214285702</v>
      </c>
      <c r="N30" s="59">
        <v>56.426878865306136</v>
      </c>
      <c r="O30" s="60" t="s">
        <v>171</v>
      </c>
    </row>
    <row r="31" spans="1:15" ht="15.6" x14ac:dyDescent="0.3">
      <c r="A31" s="57" t="s">
        <v>172</v>
      </c>
      <c r="B31" s="58">
        <v>69.219098437499994</v>
      </c>
      <c r="C31" s="58">
        <v>75.252045250000009</v>
      </c>
      <c r="D31" s="58">
        <v>73.825793025000024</v>
      </c>
      <c r="E31" s="58">
        <v>73.468274863636353</v>
      </c>
      <c r="F31" s="58">
        <v>72.5347376</v>
      </c>
      <c r="G31" s="58">
        <v>77.883389637499988</v>
      </c>
      <c r="H31" s="58">
        <v>80.082670250000007</v>
      </c>
      <c r="I31" s="58">
        <v>65.399219369047628</v>
      </c>
      <c r="J31" s="58">
        <v>57.772638352941186</v>
      </c>
      <c r="K31" s="58">
        <v>59.26800257954546</v>
      </c>
      <c r="L31" s="58">
        <v>64.534530625000002</v>
      </c>
      <c r="M31" s="58">
        <v>66.739999999999995</v>
      </c>
      <c r="N31" s="59">
        <v>69.88</v>
      </c>
      <c r="O31" s="60" t="s">
        <v>173</v>
      </c>
    </row>
    <row r="32" spans="1:15" ht="15.6" x14ac:dyDescent="0.3">
      <c r="A32" s="57" t="s">
        <v>174</v>
      </c>
      <c r="B32" s="58">
        <v>71.000922499999987</v>
      </c>
      <c r="C32" s="58">
        <v>70.013724342105249</v>
      </c>
      <c r="D32" s="58">
        <v>62.374424999999988</v>
      </c>
      <c r="E32" s="58">
        <v>63.627010326086953</v>
      </c>
      <c r="F32" s="58">
        <v>59.349817105263163</v>
      </c>
      <c r="G32" s="58">
        <v>61.723273214285719</v>
      </c>
      <c r="H32" s="58">
        <v>59.703420454545466</v>
      </c>
      <c r="I32" s="58">
        <v>62.53257261904762</v>
      </c>
      <c r="J32" s="58">
        <v>65.502042500000016</v>
      </c>
      <c r="K32" s="58">
        <v>64.309747023809535</v>
      </c>
      <c r="L32" s="58">
        <v>54.627359999999996</v>
      </c>
      <c r="M32" s="58">
        <v>33.358738068181822</v>
      </c>
      <c r="N32" s="59">
        <v>60.470826062752998</v>
      </c>
      <c r="O32" s="60" t="s">
        <v>175</v>
      </c>
    </row>
    <row r="33" spans="1:15" ht="15.6" customHeight="1" x14ac:dyDescent="0.3">
      <c r="A33" s="57" t="s">
        <v>105</v>
      </c>
      <c r="B33" s="58">
        <v>19.901683749999997</v>
      </c>
      <c r="C33" s="58">
        <v>30.605539617647054</v>
      </c>
      <c r="D33" s="58">
        <v>40.633868636363637</v>
      </c>
      <c r="E33" s="58">
        <v>43.347552547619046</v>
      </c>
      <c r="F33" s="58">
        <v>44.190017605263151</v>
      </c>
      <c r="G33" s="58">
        <v>41.35410665909091</v>
      </c>
      <c r="H33" s="58">
        <v>40.658228000000001</v>
      </c>
      <c r="I33" s="58">
        <v>43.340640499999999</v>
      </c>
      <c r="J33" s="58">
        <v>49.839816952380943</v>
      </c>
      <c r="K33" s="62">
        <v>54.794569624999994</v>
      </c>
      <c r="L33" s="62">
        <v>61.216117289473672</v>
      </c>
      <c r="M33" s="62">
        <v>64.729496782608663</v>
      </c>
      <c r="N33" s="59">
        <v>44.821938917004019</v>
      </c>
      <c r="O33" s="60" t="s">
        <v>106</v>
      </c>
    </row>
    <row r="34" spans="1:15" ht="15.6" customHeight="1" x14ac:dyDescent="0.3">
      <c r="A34" s="57" t="s">
        <v>107</v>
      </c>
      <c r="B34" s="62">
        <v>63.396976500000008</v>
      </c>
      <c r="C34" s="62">
        <v>66.953084852941174</v>
      </c>
      <c r="D34" s="62">
        <v>71.982647477272721</v>
      </c>
      <c r="E34" s="62">
        <v>73.539060523809511</v>
      </c>
      <c r="F34" s="62">
        <v>69.804724424999989</v>
      </c>
      <c r="G34" s="62">
        <v>73.130738295454549</v>
      </c>
      <c r="H34" s="62">
        <v>82.107393785714294</v>
      </c>
      <c r="I34" s="62">
        <v>80.637301023809528</v>
      </c>
      <c r="J34" s="62">
        <v>73.298823523809531</v>
      </c>
      <c r="K34" s="62">
        <v>84.666318799999985</v>
      </c>
      <c r="L34" s="62">
        <v>94.067715194444446</v>
      </c>
      <c r="M34" s="62">
        <v>112.87479254347826</v>
      </c>
      <c r="N34" s="59">
        <v>79.181425130081294</v>
      </c>
      <c r="O34" s="60" t="s">
        <v>106</v>
      </c>
    </row>
    <row r="35" spans="1:15" ht="15.6" x14ac:dyDescent="0.3">
      <c r="A35" s="57" t="s">
        <v>108</v>
      </c>
      <c r="B35" s="58">
        <v>102.96599786842103</v>
      </c>
      <c r="C35" s="58">
        <v>109.50503773684208</v>
      </c>
      <c r="D35" s="58">
        <v>116.01138504999999</v>
      </c>
      <c r="E35" s="58">
        <v>105.49124737500001</v>
      </c>
      <c r="F35" s="58">
        <v>97.404465428571427</v>
      </c>
      <c r="G35" s="58">
        <v>90.706344809523813</v>
      </c>
      <c r="H35" s="58">
        <v>91.698948700000003</v>
      </c>
      <c r="I35" s="58">
        <v>87.552266068181822</v>
      </c>
      <c r="J35" s="58">
        <v>78.100942275000008</v>
      </c>
      <c r="K35" s="58">
        <v>80.922269684210534</v>
      </c>
      <c r="L35" s="58">
        <v>82.278706675000009</v>
      </c>
      <c r="M35" s="58">
        <v>78.539480282608693</v>
      </c>
      <c r="N35" s="59">
        <v>93.151566872950767</v>
      </c>
      <c r="O35" s="60" t="s">
        <v>106</v>
      </c>
    </row>
    <row r="36" spans="1:15" ht="15.6" x14ac:dyDescent="0.3">
      <c r="A36" s="57" t="s">
        <v>176</v>
      </c>
      <c r="B36" s="58">
        <v>83.755358416666667</v>
      </c>
      <c r="C36" s="58">
        <v>74.981547824999993</v>
      </c>
      <c r="D36" s="58">
        <v>74.928252024999992</v>
      </c>
      <c r="E36" s="58">
        <v>80.368492428571415</v>
      </c>
      <c r="F36" s="58">
        <v>86.426703761904761</v>
      </c>
      <c r="G36" s="58">
        <v>93.539339400000003</v>
      </c>
      <c r="H36" s="58">
        <v>90.080343022727263</v>
      </c>
      <c r="I36" s="58">
        <v>83.455368214285699</v>
      </c>
      <c r="J36" s="58">
        <v>77.419721631578938</v>
      </c>
      <c r="K36" s="58">
        <v>79.216541545454547</v>
      </c>
      <c r="L36" s="58">
        <v>81.621881399999992</v>
      </c>
      <c r="M36" s="58">
        <v>84.486883150000011</v>
      </c>
      <c r="N36" s="59">
        <v>82.580010456967216</v>
      </c>
      <c r="O36" s="60" t="s">
        <v>106</v>
      </c>
    </row>
    <row r="37" spans="1:15" ht="15.6" x14ac:dyDescent="0.3">
      <c r="A37" s="57" t="s">
        <v>177</v>
      </c>
      <c r="B37" s="58">
        <v>89.437476250000003</v>
      </c>
      <c r="C37" s="58">
        <v>83.624938157894732</v>
      </c>
      <c r="D37" s="58">
        <v>82.552871052631588</v>
      </c>
      <c r="E37" s="58">
        <v>84.148165217391295</v>
      </c>
      <c r="F37" s="58">
        <v>78.270687499999994</v>
      </c>
      <c r="G37" s="58">
        <v>73.694888690476205</v>
      </c>
      <c r="H37" s="58">
        <v>75.124704545454534</v>
      </c>
      <c r="I37" s="58">
        <v>73.016986904761893</v>
      </c>
      <c r="J37" s="58">
        <v>73.336846874999978</v>
      </c>
      <c r="K37" s="58">
        <v>80.196197499999997</v>
      </c>
      <c r="L37" s="58">
        <v>77.328566875000007</v>
      </c>
      <c r="M37" s="58">
        <v>72.466606250000012</v>
      </c>
      <c r="N37" s="59">
        <v>78.560027295918331</v>
      </c>
      <c r="O37" s="60" t="s">
        <v>178</v>
      </c>
    </row>
    <row r="38" spans="1:15" ht="15.6" x14ac:dyDescent="0.3">
      <c r="A38" s="63" t="s">
        <v>179</v>
      </c>
      <c r="B38" s="64"/>
      <c r="C38" s="64"/>
      <c r="D38" s="64"/>
      <c r="E38" s="64"/>
      <c r="F38" s="64"/>
      <c r="G38" s="65"/>
      <c r="H38" s="65"/>
      <c r="I38" s="65"/>
      <c r="J38" s="65"/>
      <c r="K38" s="65"/>
      <c r="L38" s="65"/>
      <c r="M38" s="65"/>
      <c r="N38" s="66"/>
      <c r="O38" s="66"/>
    </row>
    <row r="39" spans="1:15" ht="15.6" x14ac:dyDescent="0.3">
      <c r="A39" s="67" t="s">
        <v>180</v>
      </c>
      <c r="B39" s="67"/>
      <c r="C39" s="67"/>
      <c r="D39" s="67"/>
      <c r="E39" s="67"/>
      <c r="F39" s="67"/>
      <c r="G39" s="67"/>
      <c r="H39" s="67"/>
      <c r="I39" s="67"/>
      <c r="J39" s="67"/>
      <c r="K39" s="67"/>
      <c r="L39" s="67"/>
      <c r="M39" s="67"/>
      <c r="N39" s="67"/>
      <c r="O39" s="67"/>
    </row>
    <row r="40" spans="1:15" ht="15.6" x14ac:dyDescent="0.3">
      <c r="A40" s="67" t="s">
        <v>181</v>
      </c>
      <c r="B40" s="67"/>
      <c r="C40" s="67"/>
      <c r="D40" s="67"/>
      <c r="E40" s="67"/>
      <c r="F40" s="67"/>
      <c r="G40" s="67"/>
      <c r="H40" s="67"/>
      <c r="I40" s="67"/>
      <c r="J40" s="67"/>
      <c r="K40" s="67"/>
      <c r="L40" s="67"/>
      <c r="M40" s="67"/>
      <c r="N40" s="67"/>
      <c r="O40" s="67"/>
    </row>
  </sheetData>
  <mergeCells count="4">
    <mergeCell ref="A1:O1"/>
    <mergeCell ref="A7:O7"/>
    <mergeCell ref="A39:O39"/>
    <mergeCell ref="A40:O40"/>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CPI Inflation_Case Study</vt:lpstr>
      <vt:lpstr>Sheet1</vt:lpstr>
      <vt:lpstr>Problem.1</vt:lpstr>
      <vt:lpstr>Problem.2</vt:lpstr>
      <vt:lpstr>Problem.3</vt:lpstr>
      <vt:lpstr>Problem.4</vt:lpstr>
      <vt:lpstr>Problem.5</vt:lpstr>
      <vt:lpstr>Sheet4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Nidhi Gupta</dc:creator>
  <cp:lastModifiedBy>Nidhi Gupta</cp:lastModifiedBy>
  <dcterms:created xsi:type="dcterms:W3CDTF">2025-10-14T18:37:24Z</dcterms:created>
  <dcterms:modified xsi:type="dcterms:W3CDTF">2025-10-15T16:48:22Z</dcterms:modified>
</cp:coreProperties>
</file>